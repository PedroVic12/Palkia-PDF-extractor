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onsbr-my.sharepoint.com/personal/pedrovictor_veras_ons_org_br/Documents/Documentos/ESTAGIO_ONS_PVRV_2025/GitHub/Palkia-PDF-extractor/src/NexusPy/modules/Mensal SISBAR Barras ausentes/assets/"/>
    </mc:Choice>
  </mc:AlternateContent>
  <xr:revisionPtr revIDLastSave="50" documentId="13_ncr:1_{5BD94BBF-B935-4C06-A2B3-1B1B8A4AC24B}" xr6:coauthVersionLast="47" xr6:coauthVersionMax="47" xr10:uidLastSave="{78F624A7-287F-4CC2-9F49-50C6F60117BC}"/>
  <bookViews>
    <workbookView xWindow="-120" yWindow="-120" windowWidth="29040" windowHeight="15720" xr2:uid="{00000000-000D-0000-FFFF-FFFF00000000}"/>
  </bookViews>
  <sheets>
    <sheet name="Mensal Fev 26" sheetId="2" r:id="rId1"/>
    <sheet name="Parecer" sheetId="3" r:id="rId2"/>
    <sheet name="Corrige Area x UF" sheetId="4" r:id="rId3"/>
  </sheets>
  <definedNames>
    <definedName name="_xlnm._FilterDatabase" localSheetId="1" hidden="1">Parecer!$A$2:$G$70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3" i="2" l="1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192" i="2"/>
  <c r="D190" i="2"/>
  <c r="D189" i="2"/>
  <c r="D1" i="4"/>
  <c r="B1" i="4"/>
  <c r="C1" i="4" s="1"/>
  <c r="F209" i="2"/>
  <c r="F210" i="2"/>
  <c r="F211" i="2"/>
  <c r="F212" i="2"/>
  <c r="F213" i="2"/>
  <c r="F214" i="2"/>
  <c r="F215" i="2"/>
  <c r="F216" i="2"/>
  <c r="F217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91" i="2"/>
  <c r="F292" i="2"/>
  <c r="F293" i="2"/>
  <c r="F294" i="2"/>
  <c r="F306" i="2"/>
  <c r="F307" i="2"/>
  <c r="F308" i="2"/>
  <c r="F314" i="2"/>
  <c r="F315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207" i="2"/>
  <c r="F206" i="2"/>
  <c r="F205" i="2"/>
  <c r="F204" i="2"/>
  <c r="F202" i="2"/>
  <c r="F203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206" i="2"/>
  <c r="E205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189" i="2"/>
  <c r="D64" i="2"/>
  <c r="D23" i="2"/>
  <c r="D38" i="2"/>
  <c r="D22" i="2"/>
  <c r="D29" i="2"/>
  <c r="D21" i="2"/>
  <c r="D114" i="2"/>
  <c r="D37" i="2"/>
  <c r="D6" i="2"/>
  <c r="D165" i="2"/>
  <c r="D13" i="2"/>
  <c r="D94" i="2"/>
  <c r="D128" i="2"/>
  <c r="D32" i="2"/>
  <c r="D162" i="2"/>
  <c r="D115" i="2"/>
  <c r="D163" i="2"/>
  <c r="D39" i="2"/>
  <c r="D10" i="2"/>
  <c r="D105" i="2"/>
  <c r="D59" i="2"/>
  <c r="D18" i="2"/>
  <c r="D90" i="2"/>
  <c r="D153" i="2"/>
  <c r="D137" i="2"/>
  <c r="D167" i="2"/>
  <c r="D41" i="2"/>
  <c r="D98" i="2"/>
  <c r="D55" i="2"/>
  <c r="D116" i="2"/>
  <c r="D16" i="2"/>
  <c r="D142" i="2"/>
  <c r="D159" i="2"/>
  <c r="D56" i="2"/>
  <c r="D184" i="2"/>
  <c r="D155" i="2"/>
  <c r="D164" i="2"/>
  <c r="D61" i="2"/>
  <c r="D15" i="2"/>
  <c r="D122" i="2"/>
  <c r="D141" i="2"/>
  <c r="D54" i="2"/>
  <c r="D77" i="2"/>
  <c r="D166" i="2"/>
  <c r="D71" i="2"/>
  <c r="D58" i="2"/>
  <c r="D118" i="2"/>
  <c r="D87" i="2"/>
  <c r="D147" i="2"/>
  <c r="D107" i="2"/>
  <c r="D79" i="2"/>
  <c r="D110" i="2"/>
  <c r="D151" i="2"/>
  <c r="D101" i="2"/>
  <c r="D95" i="2"/>
  <c r="D33" i="2"/>
  <c r="D82" i="2"/>
  <c r="D172" i="2"/>
  <c r="D154" i="2"/>
  <c r="D180" i="2"/>
  <c r="D149" i="2"/>
  <c r="D63" i="2"/>
  <c r="D140" i="2"/>
  <c r="D103" i="2"/>
  <c r="D83" i="2"/>
  <c r="D48" i="2"/>
  <c r="D123" i="2"/>
  <c r="D57" i="2"/>
  <c r="D150" i="2"/>
  <c r="D129" i="2"/>
  <c r="D160" i="2"/>
  <c r="D80" i="2"/>
  <c r="D78" i="2"/>
  <c r="D148" i="2"/>
  <c r="D156" i="2"/>
  <c r="D146" i="2"/>
  <c r="D135" i="2"/>
  <c r="D81" i="2"/>
  <c r="D175" i="2"/>
  <c r="D109" i="2"/>
  <c r="D67" i="2"/>
  <c r="D86" i="2"/>
  <c r="D143" i="2"/>
  <c r="D20" i="2"/>
  <c r="D157" i="2"/>
  <c r="D186" i="2"/>
  <c r="D185" i="2"/>
  <c r="D178" i="2"/>
  <c r="D170" i="2"/>
  <c r="D52" i="2"/>
  <c r="D99" i="2"/>
  <c r="D179" i="2"/>
  <c r="D176" i="2"/>
  <c r="D65" i="2"/>
  <c r="D91" i="2"/>
  <c r="D124" i="2"/>
  <c r="D89" i="2"/>
  <c r="D44" i="2"/>
  <c r="D49" i="2"/>
  <c r="D36" i="2"/>
  <c r="D131" i="2"/>
  <c r="D8" i="2"/>
  <c r="D145" i="2"/>
  <c r="D182" i="2"/>
  <c r="D97" i="2"/>
  <c r="D66" i="2"/>
  <c r="D17" i="2"/>
  <c r="D24" i="2"/>
  <c r="D53" i="2"/>
  <c r="D134" i="2"/>
  <c r="D31" i="2"/>
  <c r="D108" i="2"/>
  <c r="D168" i="2"/>
  <c r="D73" i="2"/>
  <c r="D74" i="2"/>
  <c r="D169" i="2"/>
  <c r="D158" i="2"/>
  <c r="D84" i="2"/>
  <c r="D69" i="2"/>
  <c r="D3" i="2"/>
  <c r="D93" i="2"/>
  <c r="D70" i="2"/>
  <c r="D117" i="2"/>
  <c r="D187" i="2"/>
  <c r="D126" i="2"/>
  <c r="D100" i="2"/>
  <c r="D181" i="2"/>
  <c r="D72" i="2"/>
  <c r="D138" i="2"/>
  <c r="D30" i="2"/>
  <c r="D119" i="2"/>
  <c r="D112" i="2"/>
  <c r="D4" i="2"/>
  <c r="D171" i="2"/>
  <c r="D144" i="2"/>
  <c r="D35" i="2"/>
  <c r="D46" i="2"/>
  <c r="D60" i="2"/>
  <c r="D47" i="2"/>
  <c r="D26" i="2"/>
  <c r="D19" i="2"/>
  <c r="D27" i="2"/>
  <c r="D7" i="2"/>
  <c r="D152" i="2"/>
  <c r="D11" i="2"/>
  <c r="D88" i="2"/>
  <c r="D9" i="2"/>
  <c r="D136" i="2"/>
  <c r="D51" i="2"/>
  <c r="D125" i="2"/>
  <c r="D50" i="2"/>
  <c r="D161" i="2"/>
  <c r="D111" i="2"/>
  <c r="D139" i="2"/>
  <c r="D133" i="2"/>
  <c r="D188" i="2"/>
  <c r="D120" i="2"/>
  <c r="D28" i="2"/>
  <c r="D12" i="2"/>
  <c r="D92" i="2"/>
  <c r="D130" i="2"/>
  <c r="D42" i="2"/>
  <c r="D40" i="2"/>
  <c r="D76" i="2"/>
  <c r="D174" i="2"/>
  <c r="D43" i="2"/>
  <c r="D75" i="2"/>
  <c r="D173" i="2"/>
  <c r="D132" i="2"/>
  <c r="D45" i="2"/>
  <c r="D113" i="2"/>
  <c r="D106" i="2"/>
  <c r="D121" i="2"/>
  <c r="D104" i="2"/>
  <c r="D25" i="2"/>
  <c r="D127" i="2"/>
  <c r="D177" i="2"/>
  <c r="D34" i="2"/>
  <c r="D62" i="2"/>
  <c r="D68" i="2"/>
  <c r="D5" i="2"/>
  <c r="D85" i="2"/>
  <c r="D96" i="2"/>
  <c r="D183" i="2"/>
  <c r="D102" i="2"/>
  <c r="D14" i="2"/>
</calcChain>
</file>

<file path=xl/sharedStrings.xml><?xml version="1.0" encoding="utf-8"?>
<sst xmlns="http://schemas.openxmlformats.org/spreadsheetml/2006/main" count="1584" uniqueCount="636">
  <si>
    <t>Divergências com a base de dados SISBAR - Mensal Janeiro 2026</t>
  </si>
  <si>
    <t>Parecer da Área</t>
  </si>
  <si>
    <t>Nº Barra</t>
  </si>
  <si>
    <t>Nome</t>
  </si>
  <si>
    <t>Agente</t>
  </si>
  <si>
    <t>Área</t>
  </si>
  <si>
    <t>Questionamento SISBAR</t>
  </si>
  <si>
    <t>R.ROCH-SP138</t>
  </si>
  <si>
    <t>ATLANT-PR138</t>
  </si>
  <si>
    <t>BANDE--PR138</t>
  </si>
  <si>
    <t>PINHA2-SC138</t>
  </si>
  <si>
    <t>ELDO-B-RS023</t>
  </si>
  <si>
    <t>PN2-G3-SC138</t>
  </si>
  <si>
    <t>DOM-F3-MS138</t>
  </si>
  <si>
    <t>FEIJO1SIN001</t>
  </si>
  <si>
    <t>AVMT10-SP000</t>
  </si>
  <si>
    <t>AVMT10-SP013</t>
  </si>
  <si>
    <t>MATA.M-RR013</t>
  </si>
  <si>
    <t>CANTA--RR013</t>
  </si>
  <si>
    <t>REC-8--SP138</t>
  </si>
  <si>
    <t>ICONRE-SP138</t>
  </si>
  <si>
    <t>SOB-G3-MG138</t>
  </si>
  <si>
    <t>RPA-G3-MG138</t>
  </si>
  <si>
    <t>DIA-G3-MG138</t>
  </si>
  <si>
    <t>EMA-F3-PI069</t>
  </si>
  <si>
    <t>IVA-G3-PR138</t>
  </si>
  <si>
    <t>COL-G3-PR138</t>
  </si>
  <si>
    <t>URUCU1-MG138</t>
  </si>
  <si>
    <t>LUZIT3-GO000</t>
  </si>
  <si>
    <t>LUZIT3-GO013</t>
  </si>
  <si>
    <t>BURIT7-MG138</t>
  </si>
  <si>
    <t>MCLAR8-MG138</t>
  </si>
  <si>
    <t>JPINHEUFV034</t>
  </si>
  <si>
    <t>P.CHIQ-MG034</t>
  </si>
  <si>
    <t>Previsão da obra DIST_CEMIG-D_BURITIZEIRO 7 E J.PINHEIRO 6 alterada para 24/03/2026. Na comparação com o SIGER deve ser excluída do mensal de fevereiro/2026.</t>
  </si>
  <si>
    <t>Previsão da obra DIST_CEMIG-D_MONTES CLAROS 5, MONTES CLAROS 8, ETC alterada para 11/05/2026. Na comparação com o SIGER deve ser excluída do mensal de fevereiro/2026.</t>
  </si>
  <si>
    <t>Previsão da obra DIST_CEMIG-D_UFV PONTO CHIQUE 1 E 2 alterada para 01/09/2026. Na comparação com o SIGER deve ser excluída do mensal de fevereiro/2026.</t>
  </si>
  <si>
    <t>Barra representada na BASE_DIST_MG_MANTIQUEIRA_E_PADRE_FIALHO_JAN25, deve ser mantida no caso do mensal de fevereiro/2026.</t>
  </si>
  <si>
    <t>Barra representada na BASE_DIST_MG_TRIANGULO_JUN24, deve ser mantida no caso do mensal de fevereiro/2026.</t>
  </si>
  <si>
    <t>Barra representada na BASE_DIST_MG_NORTE_JAN25, deve ser mantida no caso do mensal de fevereiro/2026.</t>
  </si>
  <si>
    <t>Sem Parecer</t>
  </si>
  <si>
    <t>ELEKTRO</t>
  </si>
  <si>
    <t>COPEL D</t>
  </si>
  <si>
    <t>CELESC</t>
  </si>
  <si>
    <t>CEEE D</t>
  </si>
  <si>
    <t>ENERGISA MS</t>
  </si>
  <si>
    <t>OUTROS</t>
  </si>
  <si>
    <t>RORAIMA ENERGIA-N</t>
  </si>
  <si>
    <t>ENEL SP</t>
  </si>
  <si>
    <t>CEMIG D</t>
  </si>
  <si>
    <t>EQUATORIAL PI</t>
  </si>
  <si>
    <t>Baramentos presentes e ligados nos casos, porém com data futura no SISBAR (Após o fim do horizonte de estudo)</t>
  </si>
  <si>
    <t>Divergências com a base de dados SISBAR - Mensal Fevereiro 2026</t>
  </si>
  <si>
    <t>AGUAZU-SP088</t>
  </si>
  <si>
    <t>CAPEL3-MG500</t>
  </si>
  <si>
    <t>MCLAR6-MG013</t>
  </si>
  <si>
    <t>MCLAR6-MG000</t>
  </si>
  <si>
    <t>AR2AT5-SP000</t>
  </si>
  <si>
    <t>AR2AT5-SP013</t>
  </si>
  <si>
    <t>SPAL---PR138</t>
  </si>
  <si>
    <t>ENVASE-PR138</t>
  </si>
  <si>
    <t>FRISIA-PR138</t>
  </si>
  <si>
    <t>ACAILA-MA230</t>
  </si>
  <si>
    <t>ACAILA-MA069</t>
  </si>
  <si>
    <t>D.ELI2-PA230</t>
  </si>
  <si>
    <t>D.ELI2-PA069</t>
  </si>
  <si>
    <t>S.LUZ3-MA500</t>
  </si>
  <si>
    <t>S.LUZ3-MA230</t>
  </si>
  <si>
    <t>S.LUZ3-MA138</t>
  </si>
  <si>
    <t>AGAZT3-SP000</t>
  </si>
  <si>
    <t>AGAZT3-SP013</t>
  </si>
  <si>
    <t>AGAZT4-SP000</t>
  </si>
  <si>
    <t>AGAZT4-SP013</t>
  </si>
  <si>
    <t>ENCRUZSIN001</t>
  </si>
  <si>
    <t>LINS---PI500</t>
  </si>
  <si>
    <t>CLINS--PI500</t>
  </si>
  <si>
    <t>CLINS--PI034</t>
  </si>
  <si>
    <t>CLINS-UFV360</t>
  </si>
  <si>
    <t>TECNOR-PA230</t>
  </si>
  <si>
    <t>SLZ3T2-MA000</t>
  </si>
  <si>
    <t>EZOUT1-SP000</t>
  </si>
  <si>
    <t>EZOUTI-SP013</t>
  </si>
  <si>
    <t>Correção nos casos</t>
  </si>
  <si>
    <t>BELGLA-ES138</t>
  </si>
  <si>
    <t>EDP ES</t>
  </si>
  <si>
    <t>ES</t>
  </si>
  <si>
    <t>Barramento presente nos casos, porém desativado no SISBAR</t>
  </si>
  <si>
    <t xml:space="preserve">Barra inclusa na rede de distribuição do ES dede 01/01/2025 (BASE_DIST_ES_JAN25), porém desativada (comentar para o caso do mensal) </t>
  </si>
  <si>
    <t>Pendente</t>
  </si>
  <si>
    <t>GO</t>
  </si>
  <si>
    <t>Barramento presente e ligado nos casos, porém com data futura no SISBAR (após o fim do horizonte de estudo)</t>
  </si>
  <si>
    <t>G.LESR-GO013</t>
  </si>
  <si>
    <t>Barramento presente e desligado nos casos, porém ativo no SISBAR (sem carga e geração)</t>
  </si>
  <si>
    <t>XAVAT7-GO000</t>
  </si>
  <si>
    <t>Barramento ausente nos casos, porém ativo no SISBAR (sem carga e geração)</t>
  </si>
  <si>
    <t>XAVAT7-GO013</t>
  </si>
  <si>
    <t>CARAJA-GO000</t>
  </si>
  <si>
    <t>CARAJA-GO013</t>
  </si>
  <si>
    <t>PCHIQ2-MG138</t>
  </si>
  <si>
    <t>MG</t>
  </si>
  <si>
    <t>ok, deck AlteracoesComBaseSigerEm28-02-2026_DIST</t>
  </si>
  <si>
    <t>ok, sem deck de ajuste</t>
  </si>
  <si>
    <t>GEROUR-MG138</t>
  </si>
  <si>
    <t>Obra DIST_CEMIG-D_GERDAU O. B. E CONGONHAS que exclui a barra está prevista para 24/11/2026. Barra deve ser ligada nos casos do mensal de fevereiro/2026.</t>
  </si>
  <si>
    <t>ok, deck Ajustes_SISBAR</t>
  </si>
  <si>
    <t>VPALM5-MG138</t>
  </si>
  <si>
    <t xml:space="preserve">Obra DIST_CEMIG-D_VÁRZEA DA PALMA 5 concluída em 15/12/2025. Barra deve ser ligada nos casos do mensal de fevereiro/2026. </t>
  </si>
  <si>
    <t>ok, sem deck de ajuste (barra já está ligada)</t>
  </si>
  <si>
    <t>GSII1-UFV034</t>
  </si>
  <si>
    <t>PATRC3-MG138</t>
  </si>
  <si>
    <t>Barramento ausente nos casos, porém ativo no SISBAR (com carga e/ou geração)</t>
  </si>
  <si>
    <t xml:space="preserve">Obra DIST_CEMIG-D-MG_SE PATROCÍNIO 3 prevista para 01/09/2026. Barra não deve ser incluída nos casos do mensal de fevereiro/2026. </t>
  </si>
  <si>
    <t>BURIT3-MG138</t>
  </si>
  <si>
    <t xml:space="preserve">Obra DIST_CEMIG-D_INSERE SE BURITIS 3 prevista para 01/03/2026. Barra não deve ser incluída nos casos do mensal de fevereiro/2026. </t>
  </si>
  <si>
    <t>IGART1-MG138</t>
  </si>
  <si>
    <t xml:space="preserve">Obra DIST_CEMIG-D_INSERE SE IGARATINGA 1 prevista para 04/03/2026. Barra não deve ser incluída nos casos do mensal de fevereiro/2026. </t>
  </si>
  <si>
    <t>CON-F3-MG138</t>
  </si>
  <si>
    <t>Nova separação de geração Tipo III. Na comparação com o SIGER deve ser incluída no mensal de fevereiro/2026.</t>
  </si>
  <si>
    <t>D#C_L--MG138</t>
  </si>
  <si>
    <t>Obra DIST_CEMIG-D_MONTES CLAROS 5, MONTES CLAROS 8, ETC que exclui a barra está prevista para 11/05/2026. Na comparação com o SIGER deve ser incluída no mensal de fevereiro/2026.</t>
  </si>
  <si>
    <t>PALE2--MG138</t>
  </si>
  <si>
    <t>Obra DIST_CEMIG-D-MG_NOVA CONFIGURAÇÃO DA REGIÃO DE POUSO ALEGRE que exclui a barra está prevista para 21/12/2026. Na comparação com o SIGER deve ser incluída no mensal de fevereiro/2026.</t>
  </si>
  <si>
    <t>Pendente, aqui a barra não deve ser excluída</t>
  </si>
  <si>
    <t>D#PAL1-MG138</t>
  </si>
  <si>
    <t>D#A_L--MG138</t>
  </si>
  <si>
    <t>D#CFD1-MG138</t>
  </si>
  <si>
    <t xml:space="preserve">Obra DIST_CEMIG-D_INSERE SE CORREGO FUNDO 1 prevista para 01/05/2026. Barra não deve ser incluída nos casos do mensal de fevereiro/2026. </t>
  </si>
  <si>
    <t>NMO-G3-MT138</t>
  </si>
  <si>
    <t>ENERGISA MT</t>
  </si>
  <si>
    <t>MT</t>
  </si>
  <si>
    <t>A Barra será excluída no Mensal de fevereiro de 2026. Deck enviado para o SIGER 06/01/2026.</t>
  </si>
  <si>
    <t>SPA-G3-MT138</t>
  </si>
  <si>
    <t>SECUIS-MT138</t>
  </si>
  <si>
    <t>A barra 48062 será adicionada nos casos de referência no lugar da barra 48078. Solicitamos a remoção da barra 48078 do SISBAR. Deck enviado para o SIGER 07/01/2026.</t>
  </si>
  <si>
    <t>RLGTAP-RJ138</t>
  </si>
  <si>
    <t>LIGHT</t>
  </si>
  <si>
    <t>RJ</t>
  </si>
  <si>
    <t xml:space="preserve">Barra que será inclusa no futuro (fora do horizonte do mensal) </t>
  </si>
  <si>
    <t>SPT--P-RJ138</t>
  </si>
  <si>
    <t>ENEL RJ</t>
  </si>
  <si>
    <t>SAPFC1-RJ000</t>
  </si>
  <si>
    <t>SAPTE5-RJ013</t>
  </si>
  <si>
    <t>CCL-2Y-RJ138</t>
  </si>
  <si>
    <t>CHIADO-RJ138</t>
  </si>
  <si>
    <t>RLGTA1-RJ138</t>
  </si>
  <si>
    <t>ZILLO--SP138</t>
  </si>
  <si>
    <t>CPFL PAULISTA</t>
  </si>
  <si>
    <t>SP</t>
  </si>
  <si>
    <t>Essa barra representa um consumidor A2 que está com fornecimento suspenso. Foi desativada no SISBAR em 31/05/2025.</t>
  </si>
  <si>
    <t>BAR-G3-SP138</t>
  </si>
  <si>
    <t>Esta barra foi criada indevidamente para a representação da geração da Usina São Francisco [UTE.AI.SP.027335-0.01], quando da separação das usinas tipo II-B e tipo III dos barramentos de carga. A geração desta usina é representada pela barra 47809. Desta forma, foi solicitada a desativação dela logo que foi criada.</t>
  </si>
  <si>
    <t>AMP-G3-SP138</t>
  </si>
  <si>
    <t>Esta barra foi criada indevidamente para a representação da geração da PCH Feixos [PCH.PH.SP.030260-0.01], quando da separação das usinas tipo II-B e tipo III dos barramentos de carga. Porém, essa usina está desativada já algum tempo e não era enviada previsão de geração. Desta forma, foi solicitada a desativação dela logo que foi criada.</t>
  </si>
  <si>
    <t>B.G-G3-GO138</t>
  </si>
  <si>
    <t>AM7-Y1-SP138</t>
  </si>
  <si>
    <t>FRA5B1-SP138</t>
  </si>
  <si>
    <t>Essa barra vai representar a futura SE Franca 5-Imperador, cuja obra está atrasada. Assim que concluída a obra, faremos a representação no caso Mensal.</t>
  </si>
  <si>
    <t>FRA5B2-SP138</t>
  </si>
  <si>
    <t>SANSUN-SP138</t>
  </si>
  <si>
    <t>BANDT1-SP000</t>
  </si>
  <si>
    <t>BANDT1-SP034</t>
  </si>
  <si>
    <t>HBT231-SP088</t>
  </si>
  <si>
    <t>MNO-T4-SP000</t>
  </si>
  <si>
    <t>MNO-T4-SP013</t>
  </si>
  <si>
    <t>SCAETA-SP088</t>
  </si>
  <si>
    <t>SCAET1-SP000</t>
  </si>
  <si>
    <t>SCAET2-SP000</t>
  </si>
  <si>
    <t>SCAET1-SP013</t>
  </si>
  <si>
    <t>SCAET2-SP013</t>
  </si>
  <si>
    <t>UNI2G3-SP013</t>
  </si>
  <si>
    <t>JAC2-1-SP069</t>
  </si>
  <si>
    <t>RPCSMV-SP138</t>
  </si>
  <si>
    <t>CLOUHQ-SP440</t>
  </si>
  <si>
    <t>PAHLAVAN</t>
  </si>
  <si>
    <t>PAHL-1-SP034</t>
  </si>
  <si>
    <t>SCL-Y1-SP230</t>
  </si>
  <si>
    <t>SCALA DATA CENTERS</t>
  </si>
  <si>
    <t>SCL-Y2-SP230</t>
  </si>
  <si>
    <t>EDP SP</t>
  </si>
  <si>
    <t>EQUATORIAL MA-N</t>
  </si>
  <si>
    <t>EQUATORIAL PA-N</t>
  </si>
  <si>
    <t>TECNORED</t>
  </si>
  <si>
    <t>CAPIVA-RS138</t>
  </si>
  <si>
    <t>CPDNH2-MA069</t>
  </si>
  <si>
    <t>OLD----BA013</t>
  </si>
  <si>
    <t>BARREI-BA138</t>
  </si>
  <si>
    <t>CGD.BO-PB069</t>
  </si>
  <si>
    <t>SANTAN-AP138</t>
  </si>
  <si>
    <t>MANAU1-AM069</t>
  </si>
  <si>
    <t>PALE6B-RS013</t>
  </si>
  <si>
    <t>BRANOR-SC069</t>
  </si>
  <si>
    <t>CIA-G3-PR138</t>
  </si>
  <si>
    <t>CRZ-G3-RJ069</t>
  </si>
  <si>
    <t>MIM-G3-ES069</t>
  </si>
  <si>
    <t>COELBA</t>
  </si>
  <si>
    <t>ENERGISA PB</t>
  </si>
  <si>
    <t>CEA</t>
  </si>
  <si>
    <t>AMAZONAS ENERGIA</t>
  </si>
  <si>
    <t>Barramentos presentes nos casos (mas desligados), porém com data futura no sisbar (após o fim do horizonte do estudo)</t>
  </si>
  <si>
    <t>Barramentos presentos nos casos, porém desativados no SISBAR</t>
  </si>
  <si>
    <t>M.REAA-SP020</t>
  </si>
  <si>
    <t>ESTEIO-RS069</t>
  </si>
  <si>
    <t>CRATO2-CE069</t>
  </si>
  <si>
    <t>TA.PMG-PA230</t>
  </si>
  <si>
    <t>DIA.BA-TO138</t>
  </si>
  <si>
    <t>FRIMED-PR138</t>
  </si>
  <si>
    <t>COPRE3-RS023</t>
  </si>
  <si>
    <t>CERACA-SC138</t>
  </si>
  <si>
    <t>CERGRA-SC013</t>
  </si>
  <si>
    <t>COPZEM-SC013</t>
  </si>
  <si>
    <t>COP-G3-SC013</t>
  </si>
  <si>
    <t>M.REAB-SP020</t>
  </si>
  <si>
    <t>PI.NIM-PI230</t>
  </si>
  <si>
    <t>DCBARB-BA034</t>
  </si>
  <si>
    <t>DCIBMA-BA034</t>
  </si>
  <si>
    <t>DCSSAL-BA034</t>
  </si>
  <si>
    <t>RGE</t>
  </si>
  <si>
    <t>ENEL CE</t>
  </si>
  <si>
    <t>PARAGOMINAS</t>
  </si>
  <si>
    <t>COPREL</t>
  </si>
  <si>
    <t>CERAÇA</t>
  </si>
  <si>
    <t>CERGRAL</t>
  </si>
  <si>
    <t>COOPERZEM</t>
  </si>
  <si>
    <t>PIAUI NIQUEL METAIS</t>
  </si>
  <si>
    <t>BARBATIMAO DATA CENTER</t>
  </si>
  <si>
    <t>IMBURANA DATA CENTER</t>
  </si>
  <si>
    <t>SAO SALVADOR DATA CENTER</t>
  </si>
  <si>
    <t>Barramentos presentes e desligados nos casos, porém ativos no sisbar (com carga e/ou geração)</t>
  </si>
  <si>
    <t>CAMPO2-RJ000</t>
  </si>
  <si>
    <t>CAMPO2-RJ013</t>
  </si>
  <si>
    <t>JACUI-UHE</t>
  </si>
  <si>
    <t>VENAIRSIN</t>
  </si>
  <si>
    <t>VALAD4-MG000</t>
  </si>
  <si>
    <t>R.SAUD-RJ138</t>
  </si>
  <si>
    <t>FIGUEIUTE</t>
  </si>
  <si>
    <t>FJBTR--RJ138</t>
  </si>
  <si>
    <t>BPEIX3-MT013</t>
  </si>
  <si>
    <t>BPEIX3-MT000</t>
  </si>
  <si>
    <t>FTZT2--CE013</t>
  </si>
  <si>
    <t>FTZCER-CE000</t>
  </si>
  <si>
    <t>TERESISIN</t>
  </si>
  <si>
    <t>IMPER1SIN</t>
  </si>
  <si>
    <t>FTZCE1CER026</t>
  </si>
  <si>
    <t>FTZCE2CER026</t>
  </si>
  <si>
    <t>MGEFC3-RJ000</t>
  </si>
  <si>
    <t>MGETE3-RJ013</t>
  </si>
  <si>
    <t>C.PVEL-RO000</t>
  </si>
  <si>
    <t>C.PVEL-RO013</t>
  </si>
  <si>
    <t>MACAP4-AP013</t>
  </si>
  <si>
    <t>MACAP4-AP000</t>
  </si>
  <si>
    <t>CRATO2-CE230</t>
  </si>
  <si>
    <t>DIA.TO-TO138</t>
  </si>
  <si>
    <t>CNOCHA-MA069</t>
  </si>
  <si>
    <t>TARUMA-AM230</t>
  </si>
  <si>
    <t>TARUMA-AM138</t>
  </si>
  <si>
    <t>JB1TAP-RJ138</t>
  </si>
  <si>
    <t>CTRICC-RS034</t>
  </si>
  <si>
    <t>JOISUL-SC525</t>
  </si>
  <si>
    <t>JOISUL-SC230</t>
  </si>
  <si>
    <t>JOISUL-SC138</t>
  </si>
  <si>
    <t>JOIS01-SC000</t>
  </si>
  <si>
    <t>JOIS02-SC000</t>
  </si>
  <si>
    <t>JOIS03-SC000</t>
  </si>
  <si>
    <t>JOIS05-SC000</t>
  </si>
  <si>
    <t>JOIS06-SC000</t>
  </si>
  <si>
    <t>JOIS01-SC013</t>
  </si>
  <si>
    <t>JOIS02-SC013</t>
  </si>
  <si>
    <t>JOIS03-SC013</t>
  </si>
  <si>
    <t>JOIS05-SC013</t>
  </si>
  <si>
    <t>JOIS06-SC013</t>
  </si>
  <si>
    <t>PERJLA-SC138</t>
  </si>
  <si>
    <t>CERGRA-SC004</t>
  </si>
  <si>
    <t>COPZEM-SC004</t>
  </si>
  <si>
    <t>CERGRA-SC000</t>
  </si>
  <si>
    <t>COPZEM-SC000</t>
  </si>
  <si>
    <t>SER-2Y-RJ069</t>
  </si>
  <si>
    <t>URU-2Y-RJ069</t>
  </si>
  <si>
    <t>MTC81B-RJ138</t>
  </si>
  <si>
    <t>MTC82B-RJ138</t>
  </si>
  <si>
    <t>A-BNST-DF138</t>
  </si>
  <si>
    <t>CCHA-4-RS013</t>
  </si>
  <si>
    <t>ELD--1-RS013</t>
  </si>
  <si>
    <t>PAL9-1-RS013</t>
  </si>
  <si>
    <t>CCHA-4-RS000</t>
  </si>
  <si>
    <t>ELDO-1-RS000</t>
  </si>
  <si>
    <t>PAL9-1-RS000</t>
  </si>
  <si>
    <t>MREAT1-SP000</t>
  </si>
  <si>
    <t>JAGR.8-MG000</t>
  </si>
  <si>
    <t>JAGR.8-MG014</t>
  </si>
  <si>
    <t>VALAD4-MG013</t>
  </si>
  <si>
    <t>JLA--7-SC000</t>
  </si>
  <si>
    <t>JLA--7-SC013</t>
  </si>
  <si>
    <t>IMPER2SIN</t>
  </si>
  <si>
    <t>IZ--T1-MA000</t>
  </si>
  <si>
    <t>PASSAG-RN069</t>
  </si>
  <si>
    <t>PASSAG-RN034</t>
  </si>
  <si>
    <t>PASSAGEOL009</t>
  </si>
  <si>
    <t>CRT-T1-CE013</t>
  </si>
  <si>
    <t>CRT-T1-CE000</t>
  </si>
  <si>
    <t>CRT-T2-CE013</t>
  </si>
  <si>
    <t>CRT-T2-CE000</t>
  </si>
  <si>
    <t>SJPIT3-PI000</t>
  </si>
  <si>
    <t>SJPIT3-PI013</t>
  </si>
  <si>
    <t>CLUGNL-MA013</t>
  </si>
  <si>
    <t>ALTB31-PB034</t>
  </si>
  <si>
    <t>ALTB32-PB034</t>
  </si>
  <si>
    <t>ALTT31-PB000</t>
  </si>
  <si>
    <t>ALTB31UFV336</t>
  </si>
  <si>
    <t>SMEL07UFV000</t>
  </si>
  <si>
    <t>TAR-T1-AM000</t>
  </si>
  <si>
    <t>TAR-T2-AM000</t>
  </si>
  <si>
    <t>TAR-T1-AM013</t>
  </si>
  <si>
    <t>TAR-T2-AM013</t>
  </si>
  <si>
    <t>BJDMB2UFV311</t>
  </si>
  <si>
    <t>SL3AT1-MA013</t>
  </si>
  <si>
    <t>SL3AT1-MA000</t>
  </si>
  <si>
    <t>SL3AT2-MA013</t>
  </si>
  <si>
    <t>SL3AT2-MA000</t>
  </si>
  <si>
    <t>SLZ3T1-MA013</t>
  </si>
  <si>
    <t>SLZ3T1-MA000</t>
  </si>
  <si>
    <t>SLZ3T2-MA013</t>
  </si>
  <si>
    <t>FURNAS</t>
  </si>
  <si>
    <t>ELETRONORTE</t>
  </si>
  <si>
    <t>CHESF</t>
  </si>
  <si>
    <t>ENERGISA TO</t>
  </si>
  <si>
    <t>ELETROSUL</t>
  </si>
  <si>
    <t>COSERN</t>
  </si>
  <si>
    <t>Barramentos presentes e desligados nos casos, porém ativos no sisbar (sem carga e geração)</t>
  </si>
  <si>
    <t>SCS----SP088</t>
  </si>
  <si>
    <t>ITAPA1-MG138</t>
  </si>
  <si>
    <t>FSQUER-MT138</t>
  </si>
  <si>
    <t>FSCNVO-MT138</t>
  </si>
  <si>
    <t>PIP-G3-RJ013</t>
  </si>
  <si>
    <t>FRL-G3-RJ004</t>
  </si>
  <si>
    <t>BURIZ2-MG138</t>
  </si>
  <si>
    <t>JPINH5-MG138</t>
  </si>
  <si>
    <t>PCHIQ1-MG138</t>
  </si>
  <si>
    <t>BURIZ5-MG138</t>
  </si>
  <si>
    <t>ITUIU2-MG138</t>
  </si>
  <si>
    <t>DIVIN3-MG138</t>
  </si>
  <si>
    <t>JPINH4-MG138</t>
  </si>
  <si>
    <t>REGIST-SP069</t>
  </si>
  <si>
    <t>CTEEP</t>
  </si>
  <si>
    <t>ESOU---SP088</t>
  </si>
  <si>
    <t>CPFL PIRATININGA</t>
  </si>
  <si>
    <t>JESUITPCH013</t>
  </si>
  <si>
    <t>CACH--PCH013</t>
  </si>
  <si>
    <t>CACH---MT138</t>
  </si>
  <si>
    <t>CAMETA-PA013</t>
  </si>
  <si>
    <t>CAMETA-PA138</t>
  </si>
  <si>
    <t>P.BENT-PA138</t>
  </si>
  <si>
    <t>TUC.VI-MA138</t>
  </si>
  <si>
    <t>T.NOR1UTE</t>
  </si>
  <si>
    <t>ENERGISA RO</t>
  </si>
  <si>
    <t>IM-CO1TCS500</t>
  </si>
  <si>
    <t>MCLAR5-MG138</t>
  </si>
  <si>
    <t>INTERB-SP138</t>
  </si>
  <si>
    <t>S.SURU-PE500</t>
  </si>
  <si>
    <t>SURUBI-PE500</t>
  </si>
  <si>
    <t>D.MACE-CE230</t>
  </si>
  <si>
    <t>MAUAB1-AM069</t>
  </si>
  <si>
    <t>MUBL4D-AM069</t>
  </si>
  <si>
    <t>MUBL4M-AM069</t>
  </si>
  <si>
    <t>S.JOAQUTE</t>
  </si>
  <si>
    <t>ARATNG-CE069</t>
  </si>
  <si>
    <t>ARATNG-CE034</t>
  </si>
  <si>
    <t>ARATNGUFV100</t>
  </si>
  <si>
    <t>TT3-Y1-SP138</t>
  </si>
  <si>
    <t>KAR-1Y-SP138</t>
  </si>
  <si>
    <t>VIV-1Y-SP138</t>
  </si>
  <si>
    <t>ARN-1Y-SP138</t>
  </si>
  <si>
    <t>AJN-1Y-SP138</t>
  </si>
  <si>
    <t>CAIE1Y-SP138</t>
  </si>
  <si>
    <t>TT2-1Y-SP138</t>
  </si>
  <si>
    <t>TGR-1Y-SP138</t>
  </si>
  <si>
    <t>MUL-1Y-SP138</t>
  </si>
  <si>
    <t>SBR-1Y-SP138</t>
  </si>
  <si>
    <t>JUN_1Y-SP138</t>
  </si>
  <si>
    <t>INC_1Y-SP138</t>
  </si>
  <si>
    <t>TT3-2Y-SP138</t>
  </si>
  <si>
    <t>KAR-2Y-SP138</t>
  </si>
  <si>
    <t>VIV-2Y-SP138</t>
  </si>
  <si>
    <t>ARN-2Y-SP138</t>
  </si>
  <si>
    <t>AJN-2Y-SP138</t>
  </si>
  <si>
    <t>CAIE2Y-SP138</t>
  </si>
  <si>
    <t>TT2-2Y-SP138</t>
  </si>
  <si>
    <t>TGR-2Y-SP138</t>
  </si>
  <si>
    <t>MUL-2Y-SP138</t>
  </si>
  <si>
    <t>SBR-2Y-SP138</t>
  </si>
  <si>
    <t>JUN_2Y-SP138</t>
  </si>
  <si>
    <t>INC_2Y-SP138</t>
  </si>
  <si>
    <t>ACAUA1UFV020</t>
  </si>
  <si>
    <t>ACAUA1-RN034</t>
  </si>
  <si>
    <t>ACAUA1-RN069</t>
  </si>
  <si>
    <t>CANU-2-BA034</t>
  </si>
  <si>
    <t>CANUDOEOL048</t>
  </si>
  <si>
    <t>NS.GLO-SE230</t>
  </si>
  <si>
    <t>TCA-B4-BA034</t>
  </si>
  <si>
    <t>TCA-B4EOL000</t>
  </si>
  <si>
    <t>CANAP1-MG138</t>
  </si>
  <si>
    <t>VEAII--PI500</t>
  </si>
  <si>
    <t>CARNA-UFV122</t>
  </si>
  <si>
    <t>CARNA--PI034</t>
  </si>
  <si>
    <t>CARNA--PI500</t>
  </si>
  <si>
    <t>HFSJOA-RR069</t>
  </si>
  <si>
    <t>ARAPUA-CE230</t>
  </si>
  <si>
    <t>ARAPB1-CE034</t>
  </si>
  <si>
    <t>ARAPB1UFV374</t>
  </si>
  <si>
    <t>GR2-Y1-SP138</t>
  </si>
  <si>
    <t>CPFL SANTA CRUZ</t>
  </si>
  <si>
    <t>GR2-Y2-SP138</t>
  </si>
  <si>
    <t>LUZEI2-BA230</t>
  </si>
  <si>
    <t>LUZEI2-BA034</t>
  </si>
  <si>
    <t>LUZEI2UFV162</t>
  </si>
  <si>
    <t>PIRAP4-MG138</t>
  </si>
  <si>
    <t>VPALM9-MG138</t>
  </si>
  <si>
    <t>XANGR-UFV034</t>
  </si>
  <si>
    <t>OLDSOL-PI230</t>
  </si>
  <si>
    <t>OLDSOL-PI034</t>
  </si>
  <si>
    <t>OLDSOLUFV072</t>
  </si>
  <si>
    <t>MAI-1Y-SP138</t>
  </si>
  <si>
    <t>MAI-2Y-SP138</t>
  </si>
  <si>
    <t>GLPTPN-RJ138</t>
  </si>
  <si>
    <t>GLPTPR-RJ138</t>
  </si>
  <si>
    <t>JPINH6-MG138</t>
  </si>
  <si>
    <t>PAFIV-SIN004</t>
  </si>
  <si>
    <t>MATOG-UHE013</t>
  </si>
  <si>
    <t>MATOG-UHE230</t>
  </si>
  <si>
    <t>FSMAGNUFV144</t>
  </si>
  <si>
    <t>FSCONCUFV041</t>
  </si>
  <si>
    <t>BRAZA-SIN002</t>
  </si>
  <si>
    <t>DCLAIX-BA034</t>
  </si>
  <si>
    <t>OLDT1--BA000</t>
  </si>
  <si>
    <t>OLDT1--BA008</t>
  </si>
  <si>
    <t>NATAL2CER040</t>
  </si>
  <si>
    <t>BSNTT1-SP000</t>
  </si>
  <si>
    <t>BSNTT1-SP013</t>
  </si>
  <si>
    <t>CBAlT2-GO230</t>
  </si>
  <si>
    <t>CBAlT2-GO034</t>
  </si>
  <si>
    <t>BALT2-UFV032</t>
  </si>
  <si>
    <t>D#BUZ2-MG138</t>
  </si>
  <si>
    <t>D#JPN5-MG138</t>
  </si>
  <si>
    <t>D#PCQ1-MG138</t>
  </si>
  <si>
    <t>D#BUZ5-MG138</t>
  </si>
  <si>
    <t>PRO-1Y-SP138</t>
  </si>
  <si>
    <t>PRO-2Y-SP138</t>
  </si>
  <si>
    <t>Area</t>
  </si>
  <si>
    <t>UF</t>
  </si>
  <si>
    <t>Identification</t>
  </si>
  <si>
    <t>RS</t>
  </si>
  <si>
    <t>RS - 525 kV</t>
  </si>
  <si>
    <t>RS - 230 kV</t>
  </si>
  <si>
    <t>RS - DIT/DIST</t>
  </si>
  <si>
    <t>RS - DIT/DIST (Sul + Livramento 2)</t>
  </si>
  <si>
    <t>RS - Consumidores RB</t>
  </si>
  <si>
    <t>RS - Autoprodutores 230 kV</t>
  </si>
  <si>
    <t>SC</t>
  </si>
  <si>
    <t>SC - 525 kV</t>
  </si>
  <si>
    <t>SC - 230 kV</t>
  </si>
  <si>
    <t>SC - DIT/DIST</t>
  </si>
  <si>
    <t>SC - Consumidores RB</t>
  </si>
  <si>
    <t>PR</t>
  </si>
  <si>
    <t>PR - 525 kV</t>
  </si>
  <si>
    <t>PR - 230 kV</t>
  </si>
  <si>
    <t>PR - DIT/DIST</t>
  </si>
  <si>
    <t>PR - Consumidores RB</t>
  </si>
  <si>
    <t>PR - Autoprodutores 230 kV</t>
  </si>
  <si>
    <t>SP - 765 kV (SP+PR)</t>
  </si>
  <si>
    <t>SP - 500 kV</t>
  </si>
  <si>
    <t>SP - 440 kV</t>
  </si>
  <si>
    <t>SP - 345 kV</t>
  </si>
  <si>
    <t>SP - 230 kV</t>
  </si>
  <si>
    <t>SP - DIT/DIST (Litoral)</t>
  </si>
  <si>
    <t>SP - DIT/DIST (ATB/MOG/CAMP)</t>
  </si>
  <si>
    <t>SP - DIT/DIST (Araras)</t>
  </si>
  <si>
    <t>SP - DIT/DIST (Jupiá)</t>
  </si>
  <si>
    <t>SP - DIT/DIST (P.Prudente)</t>
  </si>
  <si>
    <t>SP - DIT/DIST (CERQ/Oeste/Salto)</t>
  </si>
  <si>
    <t>SP - DIT/DIST (Região Metropolitana)</t>
  </si>
  <si>
    <t>SP - DIT/DIST (Vale do Paraíba)</t>
  </si>
  <si>
    <t>SP - DIT/DIST (C. Paulista)</t>
  </si>
  <si>
    <t>SP - Autoprodutores DIT/DIST</t>
  </si>
  <si>
    <t>SP - Consumidores RB</t>
  </si>
  <si>
    <t>SP - Autoprodutores 440 kV</t>
  </si>
  <si>
    <t>PR - 500 kV (Sudeste)</t>
  </si>
  <si>
    <t>PY</t>
  </si>
  <si>
    <t>PY - Sistema 50 Hz</t>
  </si>
  <si>
    <t>RJ - 500 kV</t>
  </si>
  <si>
    <t>RJ - 345 kV</t>
  </si>
  <si>
    <t>RJ - 230 kV</t>
  </si>
  <si>
    <t>RJ - DIT/DIST (Metropolitana)</t>
  </si>
  <si>
    <t>RJ - DIT/DIST (Sul Fluminense)</t>
  </si>
  <si>
    <t>RJ - DIT/DIST (Baixada Fluminense)</t>
  </si>
  <si>
    <t>RJ - DIT/DIST (Serrana)</t>
  </si>
  <si>
    <t>RJ - DIT/DIST (Lagos)</t>
  </si>
  <si>
    <t>RJ - DIT/DIST (Norte Fluminense)</t>
  </si>
  <si>
    <t>RJ - Consumidores RB</t>
  </si>
  <si>
    <t>RJ - Autoprodutores 500 kV</t>
  </si>
  <si>
    <t>RJ - Autoprodutores DIT/DIST</t>
  </si>
  <si>
    <t>ES - 500 kV</t>
  </si>
  <si>
    <t>ES - 345 kV</t>
  </si>
  <si>
    <t>ES - 230 kV</t>
  </si>
  <si>
    <t>ES - DIT/DIST (Grande Vitória)</t>
  </si>
  <si>
    <t>ES - DIT/DIST (Sul)</t>
  </si>
  <si>
    <t>ES - DIT/DIST (Norte)</t>
  </si>
  <si>
    <t>ES - Autoprodutores DIT/DIST</t>
  </si>
  <si>
    <t>MG - 500 kV</t>
  </si>
  <si>
    <t>MG - 345 kV</t>
  </si>
  <si>
    <t>MG - 230 kV</t>
  </si>
  <si>
    <t>MG - DIT/DIST (Metropolitana)</t>
  </si>
  <si>
    <t>MG - DIT/DIST (Mantiqueira)</t>
  </si>
  <si>
    <t>MG - DIT/DIST (Norte)</t>
  </si>
  <si>
    <t>MG - DIT/DIST (Leste)</t>
  </si>
  <si>
    <t>MG - DIT/DIST (Triângulo)</t>
  </si>
  <si>
    <t>MG - DIT/DIST (Sul)</t>
  </si>
  <si>
    <t>MG - DIT/DIST (Oeste)</t>
  </si>
  <si>
    <t>MG - DIT/DIST (Padre Fialho)</t>
  </si>
  <si>
    <t>MG - Consumidores RB</t>
  </si>
  <si>
    <t>MG - Autoprodutores DIT/DIST</t>
  </si>
  <si>
    <t>MS</t>
  </si>
  <si>
    <t>MS - 440 kV</t>
  </si>
  <si>
    <t>MS - 230 kV</t>
  </si>
  <si>
    <t>MS - DIT/DIST</t>
  </si>
  <si>
    <t>MS - Autoprodutores 230 kV</t>
  </si>
  <si>
    <t>MS - Autoprodutores DIT/DIST</t>
  </si>
  <si>
    <t>AC</t>
  </si>
  <si>
    <t>AC - 230 kV</t>
  </si>
  <si>
    <t>AC - DIT/DIST (Rio Branco I)</t>
  </si>
  <si>
    <t>AC - DIT/DIST (Feijó)</t>
  </si>
  <si>
    <t>RO</t>
  </si>
  <si>
    <t>RO - 500 kV</t>
  </si>
  <si>
    <t>RO - 230 kV</t>
  </si>
  <si>
    <t>RO - DIT/DIST (Abunã)</t>
  </si>
  <si>
    <t>RO - DIT/DIST (Nova Mutum Paraná)</t>
  </si>
  <si>
    <t>RO - DIT/DIST (Porto Velho)</t>
  </si>
  <si>
    <t>RO - DIT/DIST (Ariquemes)</t>
  </si>
  <si>
    <t>RO - DIT/DIST (Jaru)</t>
  </si>
  <si>
    <t>RO - DIT/DIST (Ji-Paraná)</t>
  </si>
  <si>
    <t>RO - DIT/DIST (Pimenta Bueno)</t>
  </si>
  <si>
    <t>RO - DIT/DIST (Vilhena)</t>
  </si>
  <si>
    <t>MT - 500 kV</t>
  </si>
  <si>
    <t>MT - 230 kV</t>
  </si>
  <si>
    <t>MT - DIT/DIST (Sinop)</t>
  </si>
  <si>
    <t>MT - DIT/DIST (Sorriso)</t>
  </si>
  <si>
    <t>MT - DIT/DIST (Lucas do Rio Verde)</t>
  </si>
  <si>
    <t>MT - DIT/DIST (Dardanelos)</t>
  </si>
  <si>
    <t>MT - DIT/DIST (Anel Cuiabá)</t>
  </si>
  <si>
    <t>MT - DIT/DIST (Barra do Peixe)</t>
  </si>
  <si>
    <t>MT - DIT/DIST (Parecis)</t>
  </si>
  <si>
    <t>MT - Consumidores RB</t>
  </si>
  <si>
    <t>MT - Autoprodutores DIT/DIST</t>
  </si>
  <si>
    <t>MT - Autoprodutores 230 kV</t>
  </si>
  <si>
    <t>GO - 500 kV</t>
  </si>
  <si>
    <t>GO - 345 kV</t>
  </si>
  <si>
    <t>GO - 230 kV</t>
  </si>
  <si>
    <t>GO - DIT/DIST (Corumbá)</t>
  </si>
  <si>
    <t>GO - DIT/DIST (Goiânia)</t>
  </si>
  <si>
    <t>GO - DIT/DIST (Paranaíba)</t>
  </si>
  <si>
    <t>GO - DIT/DIST (Sudoeste)</t>
  </si>
  <si>
    <t>GO - DIT/DIST (Norte)</t>
  </si>
  <si>
    <t>GO - Consumidores RB</t>
  </si>
  <si>
    <t>GO - Autoprodutores 230 kV</t>
  </si>
  <si>
    <t>GO - Autoprodutores DIT/DIST</t>
  </si>
  <si>
    <t>DF</t>
  </si>
  <si>
    <t>DF - 500 kV</t>
  </si>
  <si>
    <t>DF - 345 kV</t>
  </si>
  <si>
    <t>DF - 230 kV</t>
  </si>
  <si>
    <t>DF - DIT/DIST (Brasília)</t>
  </si>
  <si>
    <t>TO</t>
  </si>
  <si>
    <t>TO - Geração (Centro-Oeste)</t>
  </si>
  <si>
    <t>BA</t>
  </si>
  <si>
    <t>BA - 500 kV (Oeste)</t>
  </si>
  <si>
    <t>BA - 230 kV (Oeste)</t>
  </si>
  <si>
    <t>BA - DIT/DIST (Oeste)</t>
  </si>
  <si>
    <t>BA - Consumidores RB (Oeste)</t>
  </si>
  <si>
    <t>BA/SE</t>
  </si>
  <si>
    <t>BA/SE - 500 kV</t>
  </si>
  <si>
    <t>BA/SE - 230 kV</t>
  </si>
  <si>
    <t>BA/SE - DIT/DIST (Sul NE)</t>
  </si>
  <si>
    <t>BA/SE - DIT/DIST (Centro NE)</t>
  </si>
  <si>
    <t>BA/SE - Consumidores RB</t>
  </si>
  <si>
    <t>BA/SE - Autoprodutores 230 kV</t>
  </si>
  <si>
    <t>AL/PE</t>
  </si>
  <si>
    <t>AL/PE - 500 kV</t>
  </si>
  <si>
    <t>AL/PE - 230 kV</t>
  </si>
  <si>
    <t>AL/PE - DIT/DIST (Leste NE)</t>
  </si>
  <si>
    <t>AL/PE - Consumidores RB</t>
  </si>
  <si>
    <t>PB/RN</t>
  </si>
  <si>
    <t>PB/RN - 500 kV</t>
  </si>
  <si>
    <t>PB/RN - 230 kV</t>
  </si>
  <si>
    <t>PB/RN - DIT/DIST (Leste NE)</t>
  </si>
  <si>
    <t>PB/RN - Consumidores RB</t>
  </si>
  <si>
    <t>CE</t>
  </si>
  <si>
    <t>CE - 500 kV</t>
  </si>
  <si>
    <t>CE - 230 kV</t>
  </si>
  <si>
    <t>CE - DIT/DIST</t>
  </si>
  <si>
    <t>CE - Consumidores RB</t>
  </si>
  <si>
    <t>PI</t>
  </si>
  <si>
    <t>PI - 500 kV</t>
  </si>
  <si>
    <t>PI - 230 kV</t>
  </si>
  <si>
    <t>PI - DIT/DIST</t>
  </si>
  <si>
    <t>AM</t>
  </si>
  <si>
    <t>AM - 500 kV (Interligação PA)</t>
  </si>
  <si>
    <t>AM - 230 kV</t>
  </si>
  <si>
    <t>AM - DIT/DIST (Mauá III)</t>
  </si>
  <si>
    <t>AM - DIT/DIST (Manaus)</t>
  </si>
  <si>
    <t>AM - DIT/DIST (J. Teixeira)</t>
  </si>
  <si>
    <t>AM - DIT/DIST (Radiais)</t>
  </si>
  <si>
    <t>AM - DIT/DIST (João Paulo)</t>
  </si>
  <si>
    <t>AM - Consumidores (DIT/DIST)</t>
  </si>
  <si>
    <t>AP</t>
  </si>
  <si>
    <t>AP - 230 kV</t>
  </si>
  <si>
    <t>AP - DIT/DIST</t>
  </si>
  <si>
    <t>PA</t>
  </si>
  <si>
    <t>PA - 500 kV</t>
  </si>
  <si>
    <t>PA - 230 kV (Tramo Oeste)</t>
  </si>
  <si>
    <t>PA - 230 kV (Norte)</t>
  </si>
  <si>
    <t>PA - 230 kV (Sul)</t>
  </si>
  <si>
    <t>PA - DIT/DIST (Tramo Oeste)</t>
  </si>
  <si>
    <t>PA - DIT/DIST (Norte)</t>
  </si>
  <si>
    <t>PA - DIT/DIST (Sul)</t>
  </si>
  <si>
    <t>PA - Consumidores RB</t>
  </si>
  <si>
    <t>MA</t>
  </si>
  <si>
    <t>MA - 500 kV</t>
  </si>
  <si>
    <t>MA - 230 kV (Centro/Norte)</t>
  </si>
  <si>
    <t>MA - 230 kV (Imperatriz)</t>
  </si>
  <si>
    <t>MA - DIT/DIST (Centro/Norte)</t>
  </si>
  <si>
    <t>MA - DIT/DIST (Imperatriz)</t>
  </si>
  <si>
    <t>MA - Consumidores RB</t>
  </si>
  <si>
    <t>TO - 500 kV</t>
  </si>
  <si>
    <t>TO - 230 kV</t>
  </si>
  <si>
    <t>TO - DIT/DIST</t>
  </si>
  <si>
    <t>RR</t>
  </si>
  <si>
    <t>RR - 500 kV</t>
  </si>
  <si>
    <t>RR - 230 kV</t>
  </si>
  <si>
    <t>RR - DIT/DIST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</si>
</sst>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9ED561"/>
        <bgColor indexed="64"/>
      </patternFill>
    </fill>
    <fill>
      <patternFill patternType="solid">
        <fgColor rgb="FFCEEAB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NumberFormat="1" applyFont="1" applyBorder="1" applyAlignment="1">
      <alignment horizontal="center"/>
    </xf>
    <xf numFmtId="0" fontId="0" fillId="0" borderId="1" xfId="0" applyFont="1" applyBorder="1"/>
    <xf numFmtId="0" fontId="0" fillId="0" borderId="1" xfId="0" applyFont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0" fillId="0" borderId="1" xfId="0" applyFont="1" applyFill="1" applyBorder="1"/>
    <xf numFmtId="0" fontId="2" fillId="3" borderId="5" xfId="0" applyFont="1" applyFill="1" applyBorder="1" applyAlignment="1">
      <alignment horizontal="center" vertical="center"/>
    </xf>
    <xf numFmtId="0" fontId="0" fillId="4" borderId="0" xfId="0" applyFill="1"/>
    <xf numFmtId="0" fontId="0" fillId="0" borderId="1" xfId="0" applyBorder="1" applyAlignment="1">
      <alignment horizontal="left"/>
    </xf>
    <xf numFmtId="0" fontId="0" fillId="0" borderId="1" xfId="0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Font="1" applyBorder="1" applyAlignment="1">
      <alignment horizontal="left" wrapText="1"/>
    </xf>
    <xf numFmtId="0" fontId="0" fillId="5" borderId="1" xfId="0" applyFont="1" applyFill="1" applyBorder="1" applyAlignment="1">
      <alignment horizontal="left"/>
    </xf>
    <xf numFmtId="0" fontId="3" fillId="6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rgb="FFCEEAB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7D5F12-F95C-451C-8A20-A9B55D3F0D9F}" name="Tabela1" displayName="Tabela1" ref="A2:F332" totalsRowShown="0" headerRowDxfId="9" dataDxfId="7" headerRowBorderDxfId="8" tableBorderDxfId="6">
  <autoFilter ref="A2:F332" xr:uid="{D77D5F12-F95C-451C-8A20-A9B55D3F0D9F}"/>
  <tableColumns count="6">
    <tableColumn id="1" xr3:uid="{85892F9E-0D28-4661-9588-0F0AB911A950}" name="Nº Barra" dataDxfId="5"/>
    <tableColumn id="2" xr3:uid="{5A4FC721-A876-428A-A37D-0D3B4CF4893B}" name="Nome" dataDxfId="4"/>
    <tableColumn id="3" xr3:uid="{09185C04-2786-40FB-B4DC-AE3C07082F3E}" name="Agente" dataDxfId="3"/>
    <tableColumn id="4" xr3:uid="{397F04A0-746D-4E7A-AEC1-A35BFCEA1562}" name="Área" dataDxfId="2"/>
    <tableColumn id="5" xr3:uid="{3D607D1C-F2C9-49D7-819B-8D398F2C149A}" name="Questionamento SISBAR" dataDxfId="1"/>
    <tableColumn id="6" xr3:uid="{A9708C09-6E9F-468C-A32A-D41D4444A3FA}" name="Parecer da Área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5464C-18C0-47E1-BD10-33693ACE71C8}">
  <dimension ref="A1:AQ332"/>
  <sheetViews>
    <sheetView tabSelected="1" zoomScaleNormal="100" workbookViewId="0">
      <selection sqref="A1:F1"/>
    </sheetView>
  </sheetViews>
  <sheetFormatPr defaultRowHeight="15" x14ac:dyDescent="0.25"/>
  <cols>
    <col min="1" max="1" width="14" style="3" bestFit="1" customWidth="1"/>
    <col min="2" max="2" width="15.85546875" bestFit="1" customWidth="1"/>
    <col min="3" max="3" width="22.5703125" customWidth="1"/>
    <col min="4" max="4" width="10.140625" style="3" bestFit="1" customWidth="1"/>
    <col min="5" max="5" width="107.28515625" customWidth="1"/>
    <col min="6" max="6" width="157.85546875" customWidth="1"/>
  </cols>
  <sheetData>
    <row r="1" spans="1:6" ht="44.45" customHeight="1" x14ac:dyDescent="0.25">
      <c r="A1" s="17" t="s">
        <v>52</v>
      </c>
      <c r="B1" s="18"/>
      <c r="C1" s="18"/>
      <c r="D1" s="18"/>
      <c r="E1" s="18"/>
      <c r="F1" s="19"/>
    </row>
    <row r="2" spans="1:6" ht="15.75" x14ac:dyDescent="0.25">
      <c r="A2" s="9" t="s">
        <v>2</v>
      </c>
      <c r="B2" s="9" t="s">
        <v>3</v>
      </c>
      <c r="C2" s="9" t="s">
        <v>4</v>
      </c>
      <c r="D2" s="9" t="s">
        <v>5</v>
      </c>
      <c r="E2" s="9" t="s">
        <v>6</v>
      </c>
      <c r="F2" s="9" t="s">
        <v>1</v>
      </c>
    </row>
    <row r="3" spans="1:6" x14ac:dyDescent="0.25">
      <c r="A3" s="4">
        <v>7647</v>
      </c>
      <c r="B3" s="6" t="s">
        <v>7</v>
      </c>
      <c r="C3" s="13" t="s">
        <v>41</v>
      </c>
      <c r="D3" s="13" t="str">
        <f ca="1">VLOOKUP(Tabela1[[#This Row],[Área]],'Corrige Area x UF'!$G$1:$I$168,2,FALSE)</f>
        <v>SP</v>
      </c>
      <c r="E3" s="13" t="s">
        <v>51</v>
      </c>
      <c r="F3" s="5"/>
    </row>
    <row r="4" spans="1:6" x14ac:dyDescent="0.25">
      <c r="A4" s="4">
        <v>9385</v>
      </c>
      <c r="B4" s="6" t="s">
        <v>8</v>
      </c>
      <c r="C4" s="13" t="s">
        <v>42</v>
      </c>
      <c r="D4" s="13" t="str">
        <f ca="1">VLOOKUP(Tabela1[[#This Row],[Área]],'Corrige Area x UF'!$G$1:$I$168,2,FALSE)</f>
        <v>PR</v>
      </c>
      <c r="E4" s="13" t="s">
        <v>51</v>
      </c>
      <c r="F4" s="5"/>
    </row>
    <row r="5" spans="1:6" x14ac:dyDescent="0.25">
      <c r="A5" s="4">
        <v>9412</v>
      </c>
      <c r="B5" s="6" t="s">
        <v>9</v>
      </c>
      <c r="C5" s="13" t="s">
        <v>42</v>
      </c>
      <c r="D5" s="13" t="str">
        <f ca="1">VLOOKUP(Tabela1[[#This Row],[Área]],'Corrige Area x UF'!$G$1:$I$168,2,FALSE)</f>
        <v>PR</v>
      </c>
      <c r="E5" s="13" t="s">
        <v>51</v>
      </c>
      <c r="F5" s="5"/>
    </row>
    <row r="6" spans="1:6" x14ac:dyDescent="0.25">
      <c r="A6" s="4">
        <v>9841</v>
      </c>
      <c r="B6" s="6" t="s">
        <v>10</v>
      </c>
      <c r="C6" s="13" t="s">
        <v>43</v>
      </c>
      <c r="D6" s="13" t="str">
        <f ca="1">VLOOKUP(Tabela1[[#This Row],[Área]],'Corrige Area x UF'!$G$1:$I$168,2,FALSE)</f>
        <v>SC</v>
      </c>
      <c r="E6" s="13" t="s">
        <v>51</v>
      </c>
      <c r="F6" s="5"/>
    </row>
    <row r="7" spans="1:6" x14ac:dyDescent="0.25">
      <c r="A7" s="4">
        <v>10264</v>
      </c>
      <c r="B7" s="6" t="s">
        <v>11</v>
      </c>
      <c r="C7" s="13" t="s">
        <v>44</v>
      </c>
      <c r="D7" s="13" t="str">
        <f ca="1">VLOOKUP(Tabela1[[#This Row],[Área]],'Corrige Area x UF'!$G$1:$I$168,2,FALSE)</f>
        <v>RS</v>
      </c>
      <c r="E7" s="13" t="s">
        <v>51</v>
      </c>
      <c r="F7" s="5"/>
    </row>
    <row r="8" spans="1:6" x14ac:dyDescent="0.25">
      <c r="A8" s="4">
        <v>10803</v>
      </c>
      <c r="B8" s="6" t="s">
        <v>12</v>
      </c>
      <c r="C8" s="13" t="s">
        <v>43</v>
      </c>
      <c r="D8" s="13" t="str">
        <f ca="1">VLOOKUP(Tabela1[[#This Row],[Área]],'Corrige Area x UF'!$G$1:$I$168,2,FALSE)</f>
        <v>SC</v>
      </c>
      <c r="E8" s="13" t="s">
        <v>51</v>
      </c>
      <c r="F8" s="5"/>
    </row>
    <row r="9" spans="1:6" x14ac:dyDescent="0.25">
      <c r="A9" s="4">
        <v>10931</v>
      </c>
      <c r="B9" s="6" t="s">
        <v>13</v>
      </c>
      <c r="C9" s="13" t="s">
        <v>45</v>
      </c>
      <c r="D9" s="13" t="str">
        <f ca="1">VLOOKUP(Tabela1[[#This Row],[Área]],'Corrige Area x UF'!$G$1:$I$168,2,FALSE)</f>
        <v>MS</v>
      </c>
      <c r="E9" s="13" t="s">
        <v>51</v>
      </c>
      <c r="F9" s="5"/>
    </row>
    <row r="10" spans="1:6" x14ac:dyDescent="0.25">
      <c r="A10" s="4">
        <v>44763</v>
      </c>
      <c r="B10" s="6" t="s">
        <v>14</v>
      </c>
      <c r="C10" s="13" t="s">
        <v>46</v>
      </c>
      <c r="D10" s="13" t="str">
        <f ca="1">VLOOKUP(Tabela1[[#This Row],[Área]],'Corrige Area x UF'!$G$1:$I$168,2,FALSE)</f>
        <v>AC</v>
      </c>
      <c r="E10" s="13" t="s">
        <v>51</v>
      </c>
      <c r="F10" s="5"/>
    </row>
    <row r="11" spans="1:6" x14ac:dyDescent="0.25">
      <c r="A11" s="4">
        <v>44773</v>
      </c>
      <c r="B11" s="6" t="s">
        <v>15</v>
      </c>
      <c r="C11" s="13" t="s">
        <v>46</v>
      </c>
      <c r="D11" s="13" t="str">
        <f ca="1">VLOOKUP(Tabela1[[#This Row],[Área]],'Corrige Area x UF'!$G$1:$I$168,2,FALSE)</f>
        <v>SP</v>
      </c>
      <c r="E11" s="13" t="s">
        <v>51</v>
      </c>
      <c r="F11" s="5"/>
    </row>
    <row r="12" spans="1:6" x14ac:dyDescent="0.25">
      <c r="A12" s="4">
        <v>44774</v>
      </c>
      <c r="B12" s="6" t="s">
        <v>16</v>
      </c>
      <c r="C12" s="13" t="s">
        <v>46</v>
      </c>
      <c r="D12" s="13" t="str">
        <f ca="1">VLOOKUP(Tabela1[[#This Row],[Área]],'Corrige Area x UF'!$G$1:$I$168,2,FALSE)</f>
        <v>SP</v>
      </c>
      <c r="E12" s="13" t="s">
        <v>51</v>
      </c>
      <c r="F12" s="5"/>
    </row>
    <row r="13" spans="1:6" x14ac:dyDescent="0.25">
      <c r="A13" s="4">
        <v>45259</v>
      </c>
      <c r="B13" s="6" t="s">
        <v>17</v>
      </c>
      <c r="C13" s="13" t="s">
        <v>47</v>
      </c>
      <c r="D13" s="13" t="str">
        <f ca="1">VLOOKUP(Tabela1[[#This Row],[Área]],'Corrige Area x UF'!$G$1:$I$168,2,FALSE)</f>
        <v>RR</v>
      </c>
      <c r="E13" s="13" t="s">
        <v>51</v>
      </c>
      <c r="F13" s="5"/>
    </row>
    <row r="14" spans="1:6" x14ac:dyDescent="0.25">
      <c r="A14" s="4">
        <v>45262</v>
      </c>
      <c r="B14" s="6" t="s">
        <v>18</v>
      </c>
      <c r="C14" s="13" t="s">
        <v>47</v>
      </c>
      <c r="D14" s="13" t="str">
        <f ca="1">VLOOKUP(Tabela1[[#This Row],[Área]],'Corrige Area x UF'!$G$1:$I$168,2,FALSE)</f>
        <v>RR</v>
      </c>
      <c r="E14" s="13" t="s">
        <v>51</v>
      </c>
      <c r="F14" s="5"/>
    </row>
    <row r="15" spans="1:6" x14ac:dyDescent="0.25">
      <c r="A15" s="4">
        <v>45519</v>
      </c>
      <c r="B15" s="6" t="s">
        <v>19</v>
      </c>
      <c r="C15" s="13" t="s">
        <v>48</v>
      </c>
      <c r="D15" s="13" t="str">
        <f ca="1">VLOOKUP(Tabela1[[#This Row],[Área]],'Corrige Area x UF'!$G$1:$I$168,2,FALSE)</f>
        <v>SP</v>
      </c>
      <c r="E15" s="13" t="s">
        <v>51</v>
      </c>
      <c r="F15" s="5"/>
    </row>
    <row r="16" spans="1:6" x14ac:dyDescent="0.25">
      <c r="A16" s="4">
        <v>45522</v>
      </c>
      <c r="B16" s="6" t="s">
        <v>20</v>
      </c>
      <c r="C16" s="13" t="s">
        <v>48</v>
      </c>
      <c r="D16" s="13" t="str">
        <f ca="1">VLOOKUP(Tabela1[[#This Row],[Área]],'Corrige Area x UF'!$G$1:$I$168,2,FALSE)</f>
        <v>SP</v>
      </c>
      <c r="E16" s="13" t="s">
        <v>51</v>
      </c>
      <c r="F16" s="5"/>
    </row>
    <row r="17" spans="1:6" x14ac:dyDescent="0.25">
      <c r="A17" s="4">
        <v>47273</v>
      </c>
      <c r="B17" s="6" t="s">
        <v>21</v>
      </c>
      <c r="C17" s="13" t="s">
        <v>49</v>
      </c>
      <c r="D17" s="13" t="str">
        <f ca="1">VLOOKUP(Tabela1[[#This Row],[Área]],'Corrige Area x UF'!$G$1:$I$168,2,FALSE)</f>
        <v>MG</v>
      </c>
      <c r="E17" s="13" t="s">
        <v>51</v>
      </c>
      <c r="F17" s="5" t="s">
        <v>37</v>
      </c>
    </row>
    <row r="18" spans="1:6" x14ac:dyDescent="0.25">
      <c r="A18" s="4">
        <v>47274</v>
      </c>
      <c r="B18" s="6" t="s">
        <v>22</v>
      </c>
      <c r="C18" s="13" t="s">
        <v>49</v>
      </c>
      <c r="D18" s="13" t="str">
        <f ca="1">VLOOKUP(Tabela1[[#This Row],[Área]],'Corrige Area x UF'!$G$1:$I$168,2,FALSE)</f>
        <v>MG</v>
      </c>
      <c r="E18" s="13" t="s">
        <v>51</v>
      </c>
      <c r="F18" s="5" t="s">
        <v>38</v>
      </c>
    </row>
    <row r="19" spans="1:6" x14ac:dyDescent="0.25">
      <c r="A19" s="4">
        <v>47275</v>
      </c>
      <c r="B19" s="6" t="s">
        <v>23</v>
      </c>
      <c r="C19" s="13" t="s">
        <v>49</v>
      </c>
      <c r="D19" s="13" t="str">
        <f ca="1">VLOOKUP(Tabela1[[#This Row],[Área]],'Corrige Area x UF'!$G$1:$I$168,2,FALSE)</f>
        <v>MG</v>
      </c>
      <c r="E19" s="13" t="s">
        <v>51</v>
      </c>
      <c r="F19" s="5" t="s">
        <v>39</v>
      </c>
    </row>
    <row r="20" spans="1:6" x14ac:dyDescent="0.25">
      <c r="A20" s="4">
        <v>47323</v>
      </c>
      <c r="B20" s="6" t="s">
        <v>24</v>
      </c>
      <c r="C20" s="13" t="s">
        <v>50</v>
      </c>
      <c r="D20" s="13" t="str">
        <f ca="1">VLOOKUP(Tabela1[[#This Row],[Área]],'Corrige Area x UF'!$G$1:$I$168,2,FALSE)</f>
        <v>PI</v>
      </c>
      <c r="E20" s="13" t="s">
        <v>51</v>
      </c>
      <c r="F20" s="5"/>
    </row>
    <row r="21" spans="1:6" x14ac:dyDescent="0.25">
      <c r="A21" s="4">
        <v>47342</v>
      </c>
      <c r="B21" s="6" t="s">
        <v>25</v>
      </c>
      <c r="C21" s="13" t="s">
        <v>42</v>
      </c>
      <c r="D21" s="13" t="str">
        <f ca="1">VLOOKUP(Tabela1[[#This Row],[Área]],'Corrige Area x UF'!$G$1:$I$168,2,FALSE)</f>
        <v>PR</v>
      </c>
      <c r="E21" s="13" t="s">
        <v>51</v>
      </c>
      <c r="F21" s="5"/>
    </row>
    <row r="22" spans="1:6" x14ac:dyDescent="0.25">
      <c r="A22" s="4">
        <v>47584</v>
      </c>
      <c r="B22" s="6" t="s">
        <v>26</v>
      </c>
      <c r="C22" s="13" t="s">
        <v>42</v>
      </c>
      <c r="D22" s="13" t="str">
        <f ca="1">VLOOKUP(Tabela1[[#This Row],[Área]],'Corrige Area x UF'!$G$1:$I$168,2,FALSE)</f>
        <v>PR</v>
      </c>
      <c r="E22" s="13" t="s">
        <v>51</v>
      </c>
      <c r="F22" s="5"/>
    </row>
    <row r="23" spans="1:6" x14ac:dyDescent="0.25">
      <c r="A23" s="4">
        <v>48440</v>
      </c>
      <c r="B23" s="6" t="s">
        <v>27</v>
      </c>
      <c r="C23" s="13" t="s">
        <v>49</v>
      </c>
      <c r="D23" s="13" t="str">
        <f ca="1">VLOOKUP(Tabela1[[#This Row],[Área]],'Corrige Area x UF'!$G$1:$I$168,2,FALSE)</f>
        <v>MG</v>
      </c>
      <c r="E23" s="13" t="s">
        <v>51</v>
      </c>
      <c r="F23" s="5"/>
    </row>
    <row r="24" spans="1:6" x14ac:dyDescent="0.25">
      <c r="A24" s="6">
        <v>3424</v>
      </c>
      <c r="B24" s="6" t="s">
        <v>53</v>
      </c>
      <c r="C24" s="13" t="s">
        <v>178</v>
      </c>
      <c r="D24" s="13" t="str">
        <f ca="1">VLOOKUP(Tabela1[[#This Row],[Área]],'Corrige Area x UF'!$G$1:$I$168,2,FALSE)</f>
        <v>SP</v>
      </c>
      <c r="E24" s="13" t="s">
        <v>198</v>
      </c>
      <c r="F24" s="5"/>
    </row>
    <row r="25" spans="1:6" x14ac:dyDescent="0.25">
      <c r="A25" s="6">
        <v>7823</v>
      </c>
      <c r="B25" s="6" t="s">
        <v>54</v>
      </c>
      <c r="C25" s="13" t="s">
        <v>46</v>
      </c>
      <c r="D25" s="13" t="str">
        <f ca="1">VLOOKUP(Tabela1[[#This Row],[Área]],'Corrige Area x UF'!$G$1:$I$168,2,FALSE)</f>
        <v>MG</v>
      </c>
      <c r="E25" s="13" t="s">
        <v>198</v>
      </c>
      <c r="F25" s="5"/>
    </row>
    <row r="26" spans="1:6" x14ac:dyDescent="0.25">
      <c r="A26" s="6">
        <v>7824</v>
      </c>
      <c r="B26" s="6" t="s">
        <v>55</v>
      </c>
      <c r="C26" s="13" t="s">
        <v>46</v>
      </c>
      <c r="D26" s="13" t="str">
        <f ca="1">VLOOKUP(Tabela1[[#This Row],[Área]],'Corrige Area x UF'!$G$1:$I$168,2,FALSE)</f>
        <v>MG</v>
      </c>
      <c r="E26" s="13" t="s">
        <v>198</v>
      </c>
      <c r="F26" s="5"/>
    </row>
    <row r="27" spans="1:6" x14ac:dyDescent="0.25">
      <c r="A27" s="6">
        <v>7825</v>
      </c>
      <c r="B27" s="6" t="s">
        <v>56</v>
      </c>
      <c r="C27" s="13" t="s">
        <v>46</v>
      </c>
      <c r="D27" s="13" t="str">
        <f ca="1">VLOOKUP(Tabela1[[#This Row],[Área]],'Corrige Area x UF'!$G$1:$I$168,2,FALSE)</f>
        <v>MG</v>
      </c>
      <c r="E27" s="13" t="s">
        <v>198</v>
      </c>
      <c r="F27" s="5"/>
    </row>
    <row r="28" spans="1:6" x14ac:dyDescent="0.25">
      <c r="A28" s="6">
        <v>7850</v>
      </c>
      <c r="B28" s="6" t="s">
        <v>57</v>
      </c>
      <c r="C28" s="13" t="s">
        <v>46</v>
      </c>
      <c r="D28" s="13" t="str">
        <f ca="1">VLOOKUP(Tabela1[[#This Row],[Área]],'Corrige Area x UF'!$G$1:$I$168,2,FALSE)</f>
        <v>SP</v>
      </c>
      <c r="E28" s="13" t="s">
        <v>198</v>
      </c>
      <c r="F28" s="5"/>
    </row>
    <row r="29" spans="1:6" x14ac:dyDescent="0.25">
      <c r="A29" s="6">
        <v>7851</v>
      </c>
      <c r="B29" s="6" t="s">
        <v>58</v>
      </c>
      <c r="C29" s="13" t="s">
        <v>46</v>
      </c>
      <c r="D29" s="13" t="str">
        <f ca="1">VLOOKUP(Tabela1[[#This Row],[Área]],'Corrige Area x UF'!$G$1:$I$168,2,FALSE)</f>
        <v>SP</v>
      </c>
      <c r="E29" s="13" t="s">
        <v>198</v>
      </c>
      <c r="F29" s="5"/>
    </row>
    <row r="30" spans="1:6" x14ac:dyDescent="0.25">
      <c r="A30" s="6">
        <v>10683</v>
      </c>
      <c r="B30" s="6" t="s">
        <v>59</v>
      </c>
      <c r="C30" s="13" t="s">
        <v>42</v>
      </c>
      <c r="D30" s="13" t="str">
        <f ca="1">VLOOKUP(Tabela1[[#This Row],[Área]],'Corrige Area x UF'!$G$1:$I$168,2,FALSE)</f>
        <v>PR</v>
      </c>
      <c r="E30" s="13" t="s">
        <v>198</v>
      </c>
      <c r="F30" s="5"/>
    </row>
    <row r="31" spans="1:6" x14ac:dyDescent="0.25">
      <c r="A31" s="6">
        <v>10807</v>
      </c>
      <c r="B31" s="6" t="s">
        <v>60</v>
      </c>
      <c r="C31" s="13" t="s">
        <v>42</v>
      </c>
      <c r="D31" s="13" t="str">
        <f ca="1">VLOOKUP(Tabela1[[#This Row],[Área]],'Corrige Area x UF'!$G$1:$I$168,2,FALSE)</f>
        <v>PR</v>
      </c>
      <c r="E31" s="13" t="s">
        <v>198</v>
      </c>
      <c r="F31" s="5"/>
    </row>
    <row r="32" spans="1:6" x14ac:dyDescent="0.25">
      <c r="A32" s="6">
        <v>10808</v>
      </c>
      <c r="B32" s="6" t="s">
        <v>61</v>
      </c>
      <c r="C32" s="13" t="s">
        <v>42</v>
      </c>
      <c r="D32" s="13" t="str">
        <f ca="1">VLOOKUP(Tabela1[[#This Row],[Área]],'Corrige Area x UF'!$G$1:$I$168,2,FALSE)</f>
        <v>PR</v>
      </c>
      <c r="E32" s="13" t="s">
        <v>198</v>
      </c>
      <c r="F32" s="5"/>
    </row>
    <row r="33" spans="1:6" x14ac:dyDescent="0.25">
      <c r="A33" s="6">
        <v>44636</v>
      </c>
      <c r="B33" s="6" t="s">
        <v>62</v>
      </c>
      <c r="C33" s="13" t="s">
        <v>46</v>
      </c>
      <c r="D33" s="13" t="str">
        <f ca="1">VLOOKUP(Tabela1[[#This Row],[Área]],'Corrige Area x UF'!$G$1:$I$168,2,FALSE)</f>
        <v>MA</v>
      </c>
      <c r="E33" s="13" t="s">
        <v>198</v>
      </c>
      <c r="F33" s="5"/>
    </row>
    <row r="34" spans="1:6" x14ac:dyDescent="0.25">
      <c r="A34" s="6">
        <v>44637</v>
      </c>
      <c r="B34" s="6" t="s">
        <v>63</v>
      </c>
      <c r="C34" s="13" t="s">
        <v>179</v>
      </c>
      <c r="D34" s="13" t="str">
        <f ca="1">VLOOKUP(Tabela1[[#This Row],[Área]],'Corrige Area x UF'!$G$1:$I$168,2,FALSE)</f>
        <v>MA</v>
      </c>
      <c r="E34" s="13" t="s">
        <v>198</v>
      </c>
      <c r="F34" s="5"/>
    </row>
    <row r="35" spans="1:6" x14ac:dyDescent="0.25">
      <c r="A35" s="6">
        <v>44638</v>
      </c>
      <c r="B35" s="6" t="s">
        <v>64</v>
      </c>
      <c r="C35" s="13" t="s">
        <v>46</v>
      </c>
      <c r="D35" s="13" t="str">
        <f ca="1">VLOOKUP(Tabela1[[#This Row],[Área]],'Corrige Area x UF'!$G$1:$I$168,2,FALSE)</f>
        <v>PA</v>
      </c>
      <c r="E35" s="13" t="s">
        <v>198</v>
      </c>
      <c r="F35" s="5"/>
    </row>
    <row r="36" spans="1:6" x14ac:dyDescent="0.25">
      <c r="A36" s="6">
        <v>44639</v>
      </c>
      <c r="B36" s="6" t="s">
        <v>65</v>
      </c>
      <c r="C36" s="13" t="s">
        <v>180</v>
      </c>
      <c r="D36" s="13" t="str">
        <f ca="1">VLOOKUP(Tabela1[[#This Row],[Área]],'Corrige Area x UF'!$G$1:$I$168,2,FALSE)</f>
        <v>PA</v>
      </c>
      <c r="E36" s="13" t="s">
        <v>198</v>
      </c>
      <c r="F36" s="5"/>
    </row>
    <row r="37" spans="1:6" x14ac:dyDescent="0.25">
      <c r="A37" s="6">
        <v>44640</v>
      </c>
      <c r="B37" s="6" t="s">
        <v>66</v>
      </c>
      <c r="C37" s="13" t="s">
        <v>46</v>
      </c>
      <c r="D37" s="13" t="str">
        <f ca="1">VLOOKUP(Tabela1[[#This Row],[Área]],'Corrige Area x UF'!$G$1:$I$168,2,FALSE)</f>
        <v>MA</v>
      </c>
      <c r="E37" s="13" t="s">
        <v>198</v>
      </c>
      <c r="F37" s="5"/>
    </row>
    <row r="38" spans="1:6" x14ac:dyDescent="0.25">
      <c r="A38" s="6">
        <v>44641</v>
      </c>
      <c r="B38" s="6" t="s">
        <v>67</v>
      </c>
      <c r="C38" s="13" t="s">
        <v>46</v>
      </c>
      <c r="D38" s="13" t="str">
        <f ca="1">VLOOKUP(Tabela1[[#This Row],[Área]],'Corrige Area x UF'!$G$1:$I$168,2,FALSE)</f>
        <v>MA</v>
      </c>
      <c r="E38" s="13" t="s">
        <v>198</v>
      </c>
      <c r="F38" s="5"/>
    </row>
    <row r="39" spans="1:6" x14ac:dyDescent="0.25">
      <c r="A39" s="6">
        <v>44642</v>
      </c>
      <c r="B39" s="6" t="s">
        <v>68</v>
      </c>
      <c r="C39" s="13" t="s">
        <v>179</v>
      </c>
      <c r="D39" s="13" t="str">
        <f ca="1">VLOOKUP(Tabela1[[#This Row],[Área]],'Corrige Area x UF'!$G$1:$I$168,2,FALSE)</f>
        <v>MA</v>
      </c>
      <c r="E39" s="13" t="s">
        <v>198</v>
      </c>
      <c r="F39" s="5"/>
    </row>
    <row r="40" spans="1:6" x14ac:dyDescent="0.25">
      <c r="A40" s="6">
        <v>44769</v>
      </c>
      <c r="B40" s="6" t="s">
        <v>69</v>
      </c>
      <c r="C40" s="13" t="s">
        <v>46</v>
      </c>
      <c r="D40" s="13" t="str">
        <f ca="1">VLOOKUP(Tabela1[[#This Row],[Área]],'Corrige Area x UF'!$G$1:$I$168,2,FALSE)</f>
        <v>SP</v>
      </c>
      <c r="E40" s="13" t="s">
        <v>198</v>
      </c>
      <c r="F40" s="5"/>
    </row>
    <row r="41" spans="1:6" x14ac:dyDescent="0.25">
      <c r="A41" s="6">
        <v>44770</v>
      </c>
      <c r="B41" s="6" t="s">
        <v>70</v>
      </c>
      <c r="C41" s="13" t="s">
        <v>46</v>
      </c>
      <c r="D41" s="13" t="str">
        <f ca="1">VLOOKUP(Tabela1[[#This Row],[Área]],'Corrige Area x UF'!$G$1:$I$168,2,FALSE)</f>
        <v>SP</v>
      </c>
      <c r="E41" s="13" t="s">
        <v>198</v>
      </c>
      <c r="F41" s="5"/>
    </row>
    <row r="42" spans="1:6" x14ac:dyDescent="0.25">
      <c r="A42" s="6">
        <v>44771</v>
      </c>
      <c r="B42" s="6" t="s">
        <v>71</v>
      </c>
      <c r="C42" s="13" t="s">
        <v>46</v>
      </c>
      <c r="D42" s="13" t="str">
        <f ca="1">VLOOKUP(Tabela1[[#This Row],[Área]],'Corrige Area x UF'!$G$1:$I$168,2,FALSE)</f>
        <v>SP</v>
      </c>
      <c r="E42" s="13" t="s">
        <v>198</v>
      </c>
      <c r="F42" s="5"/>
    </row>
    <row r="43" spans="1:6" x14ac:dyDescent="0.25">
      <c r="A43" s="6">
        <v>44772</v>
      </c>
      <c r="B43" s="6" t="s">
        <v>72</v>
      </c>
      <c r="C43" s="13" t="s">
        <v>46</v>
      </c>
      <c r="D43" s="13" t="str">
        <f ca="1">VLOOKUP(Tabela1[[#This Row],[Área]],'Corrige Area x UF'!$G$1:$I$168,2,FALSE)</f>
        <v>SP</v>
      </c>
      <c r="E43" s="13" t="s">
        <v>198</v>
      </c>
      <c r="F43" s="5"/>
    </row>
    <row r="44" spans="1:6" x14ac:dyDescent="0.25">
      <c r="A44" s="6">
        <v>44819</v>
      </c>
      <c r="B44" s="6" t="s">
        <v>73</v>
      </c>
      <c r="C44" s="13" t="s">
        <v>46</v>
      </c>
      <c r="D44" s="13" t="str">
        <f ca="1">VLOOKUP(Tabela1[[#This Row],[Área]],'Corrige Area x UF'!$G$1:$I$168,2,FALSE)</f>
        <v>MA</v>
      </c>
      <c r="E44" s="13" t="s">
        <v>198</v>
      </c>
      <c r="F44" s="5"/>
    </row>
    <row r="45" spans="1:6" x14ac:dyDescent="0.25">
      <c r="A45" s="6">
        <v>45989</v>
      </c>
      <c r="B45" s="6" t="s">
        <v>74</v>
      </c>
      <c r="C45" s="13" t="s">
        <v>46</v>
      </c>
      <c r="D45" s="13" t="str">
        <f ca="1">VLOOKUP(Tabela1[[#This Row],[Área]],'Corrige Area x UF'!$G$1:$I$168,2,FALSE)</f>
        <v>PI</v>
      </c>
      <c r="E45" s="13" t="s">
        <v>198</v>
      </c>
      <c r="F45" s="5"/>
    </row>
    <row r="46" spans="1:6" x14ac:dyDescent="0.25">
      <c r="A46" s="6">
        <v>45990</v>
      </c>
      <c r="B46" s="6" t="s">
        <v>75</v>
      </c>
      <c r="C46" s="13" t="s">
        <v>46</v>
      </c>
      <c r="D46" s="13" t="str">
        <f ca="1">VLOOKUP(Tabela1[[#This Row],[Área]],'Corrige Area x UF'!$G$1:$I$168,2,FALSE)</f>
        <v>PI</v>
      </c>
      <c r="E46" s="13" t="s">
        <v>198</v>
      </c>
      <c r="F46" s="5"/>
    </row>
    <row r="47" spans="1:6" x14ac:dyDescent="0.25">
      <c r="A47" s="6">
        <v>45991</v>
      </c>
      <c r="B47" s="6" t="s">
        <v>76</v>
      </c>
      <c r="C47" s="13" t="s">
        <v>46</v>
      </c>
      <c r="D47" s="13" t="str">
        <f ca="1">VLOOKUP(Tabela1[[#This Row],[Área]],'Corrige Area x UF'!$G$1:$I$168,2,FALSE)</f>
        <v>PI</v>
      </c>
      <c r="E47" s="13" t="s">
        <v>198</v>
      </c>
      <c r="F47" s="5"/>
    </row>
    <row r="48" spans="1:6" x14ac:dyDescent="0.25">
      <c r="A48" s="6">
        <v>45992</v>
      </c>
      <c r="B48" s="6" t="s">
        <v>77</v>
      </c>
      <c r="C48" s="13" t="s">
        <v>46</v>
      </c>
      <c r="D48" s="13" t="str">
        <f ca="1">VLOOKUP(Tabela1[[#This Row],[Área]],'Corrige Area x UF'!$G$1:$I$168,2,FALSE)</f>
        <v>PI</v>
      </c>
      <c r="E48" s="13" t="s">
        <v>198</v>
      </c>
      <c r="F48" s="5"/>
    </row>
    <row r="49" spans="1:6" x14ac:dyDescent="0.25">
      <c r="A49" s="6">
        <v>47961</v>
      </c>
      <c r="B49" s="6" t="s">
        <v>78</v>
      </c>
      <c r="C49" s="13" t="s">
        <v>181</v>
      </c>
      <c r="D49" s="13" t="str">
        <f ca="1">VLOOKUP(Tabela1[[#This Row],[Área]],'Corrige Area x UF'!$G$1:$I$168,2,FALSE)</f>
        <v>PA</v>
      </c>
      <c r="E49" s="13" t="s">
        <v>198</v>
      </c>
      <c r="F49" s="5"/>
    </row>
    <row r="50" spans="1:6" x14ac:dyDescent="0.25">
      <c r="A50" s="6">
        <v>48579</v>
      </c>
      <c r="B50" s="6" t="s">
        <v>79</v>
      </c>
      <c r="C50" s="13" t="s">
        <v>46</v>
      </c>
      <c r="D50" s="13" t="str">
        <f ca="1">VLOOKUP(Tabela1[[#This Row],[Área]],'Corrige Area x UF'!$G$1:$I$168,2,FALSE)</f>
        <v>MA</v>
      </c>
      <c r="E50" s="13" t="s">
        <v>198</v>
      </c>
      <c r="F50" s="5"/>
    </row>
    <row r="51" spans="1:6" x14ac:dyDescent="0.25">
      <c r="A51" s="6">
        <v>48764</v>
      </c>
      <c r="B51" s="6" t="s">
        <v>80</v>
      </c>
      <c r="C51" s="13" t="s">
        <v>46</v>
      </c>
      <c r="D51" s="13" t="str">
        <f ca="1">VLOOKUP(Tabela1[[#This Row],[Área]],'Corrige Area x UF'!$G$1:$I$168,2,FALSE)</f>
        <v>SP</v>
      </c>
      <c r="E51" s="13" t="s">
        <v>198</v>
      </c>
      <c r="F51" s="5"/>
    </row>
    <row r="52" spans="1:6" x14ac:dyDescent="0.25">
      <c r="A52" s="6">
        <v>48765</v>
      </c>
      <c r="B52" s="6" t="s">
        <v>81</v>
      </c>
      <c r="C52" s="13" t="s">
        <v>46</v>
      </c>
      <c r="D52" s="13" t="str">
        <f ca="1">VLOOKUP(Tabela1[[#This Row],[Área]],'Corrige Area x UF'!$G$1:$I$168,2,FALSE)</f>
        <v>SP</v>
      </c>
      <c r="E52" s="13" t="s">
        <v>198</v>
      </c>
      <c r="F52" s="5"/>
    </row>
    <row r="53" spans="1:6" x14ac:dyDescent="0.25">
      <c r="A53" s="6">
        <v>1038</v>
      </c>
      <c r="B53" s="6" t="s">
        <v>182</v>
      </c>
      <c r="C53" s="13" t="s">
        <v>44</v>
      </c>
      <c r="D53" s="13" t="str">
        <f ca="1">VLOOKUP(Tabela1[[#This Row],[Área]],'Corrige Area x UF'!$G$1:$I$168,2,FALSE)</f>
        <v>RS</v>
      </c>
      <c r="E53" s="13" t="s">
        <v>199</v>
      </c>
      <c r="F53" s="5"/>
    </row>
    <row r="54" spans="1:6" x14ac:dyDescent="0.25">
      <c r="A54" s="6">
        <v>2178</v>
      </c>
      <c r="B54" s="6" t="s">
        <v>145</v>
      </c>
      <c r="C54" s="13" t="s">
        <v>146</v>
      </c>
      <c r="D54" s="13" t="str">
        <f ca="1">VLOOKUP(Tabela1[[#This Row],[Área]],'Corrige Area x UF'!$G$1:$I$168,2,FALSE)</f>
        <v>SP</v>
      </c>
      <c r="E54" s="13" t="s">
        <v>199</v>
      </c>
      <c r="F54" s="5" t="s">
        <v>148</v>
      </c>
    </row>
    <row r="55" spans="1:6" x14ac:dyDescent="0.25">
      <c r="A55" s="6">
        <v>2662</v>
      </c>
      <c r="B55" s="6" t="s">
        <v>83</v>
      </c>
      <c r="C55" s="13" t="s">
        <v>84</v>
      </c>
      <c r="D55" s="13" t="str">
        <f ca="1">VLOOKUP(Tabela1[[#This Row],[Área]],'Corrige Area x UF'!$G$1:$I$168,2,FALSE)</f>
        <v>ES</v>
      </c>
      <c r="E55" s="13" t="s">
        <v>199</v>
      </c>
      <c r="F55" s="5" t="s">
        <v>87</v>
      </c>
    </row>
    <row r="56" spans="1:6" x14ac:dyDescent="0.25">
      <c r="A56" s="6">
        <v>5687</v>
      </c>
      <c r="B56" s="6" t="s">
        <v>183</v>
      </c>
      <c r="C56" s="13" t="s">
        <v>179</v>
      </c>
      <c r="D56" s="13" t="str">
        <f ca="1">VLOOKUP(Tabela1[[#This Row],[Área]],'Corrige Area x UF'!$G$1:$I$168,2,FALSE)</f>
        <v>MA</v>
      </c>
      <c r="E56" s="13" t="s">
        <v>199</v>
      </c>
      <c r="F56" s="5"/>
    </row>
    <row r="57" spans="1:6" x14ac:dyDescent="0.25">
      <c r="A57" s="6">
        <v>5735</v>
      </c>
      <c r="B57" s="6" t="s">
        <v>184</v>
      </c>
      <c r="C57" s="13" t="s">
        <v>194</v>
      </c>
      <c r="D57" s="13" t="str">
        <f ca="1">VLOOKUP(Tabela1[[#This Row],[Área]],'Corrige Area x UF'!$G$1:$I$168,2,FALSE)</f>
        <v>BA/SE</v>
      </c>
      <c r="E57" s="13" t="s">
        <v>199</v>
      </c>
      <c r="F57" s="5"/>
    </row>
    <row r="58" spans="1:6" x14ac:dyDescent="0.25">
      <c r="A58" s="6">
        <v>6365</v>
      </c>
      <c r="B58" s="6" t="s">
        <v>185</v>
      </c>
      <c r="C58" s="13" t="s">
        <v>194</v>
      </c>
      <c r="D58" s="13" t="str">
        <f ca="1">VLOOKUP(Tabela1[[#This Row],[Área]],'Corrige Area x UF'!$G$1:$I$168,2,FALSE)</f>
        <v>BA</v>
      </c>
      <c r="E58" s="13" t="s">
        <v>199</v>
      </c>
      <c r="F58" s="5"/>
    </row>
    <row r="59" spans="1:6" x14ac:dyDescent="0.25">
      <c r="A59" s="6">
        <v>7171</v>
      </c>
      <c r="B59" s="6" t="s">
        <v>102</v>
      </c>
      <c r="C59" s="13" t="s">
        <v>49</v>
      </c>
      <c r="D59" s="13" t="str">
        <f ca="1">VLOOKUP(Tabela1[[#This Row],[Área]],'Corrige Area x UF'!$G$1:$I$168,2,FALSE)</f>
        <v>MG</v>
      </c>
      <c r="E59" s="13" t="s">
        <v>199</v>
      </c>
      <c r="F59" s="5" t="s">
        <v>103</v>
      </c>
    </row>
    <row r="60" spans="1:6" x14ac:dyDescent="0.25">
      <c r="A60" s="6">
        <v>8026</v>
      </c>
      <c r="B60" s="6" t="s">
        <v>186</v>
      </c>
      <c r="C60" s="13" t="s">
        <v>195</v>
      </c>
      <c r="D60" s="13" t="str">
        <f ca="1">VLOOKUP(Tabela1[[#This Row],[Área]],'Corrige Area x UF'!$G$1:$I$168,2,FALSE)</f>
        <v>PB/RN</v>
      </c>
      <c r="E60" s="13" t="s">
        <v>199</v>
      </c>
      <c r="F60" s="5"/>
    </row>
    <row r="61" spans="1:6" x14ac:dyDescent="0.25">
      <c r="A61" s="6">
        <v>8274</v>
      </c>
      <c r="B61" s="6" t="s">
        <v>187</v>
      </c>
      <c r="C61" s="13" t="s">
        <v>196</v>
      </c>
      <c r="D61" s="13" t="str">
        <f ca="1">VLOOKUP(Tabela1[[#This Row],[Área]],'Corrige Area x UF'!$G$1:$I$168,2,FALSE)</f>
        <v>AP</v>
      </c>
      <c r="E61" s="13" t="s">
        <v>199</v>
      </c>
      <c r="F61" s="5"/>
    </row>
    <row r="62" spans="1:6" x14ac:dyDescent="0.25">
      <c r="A62" s="6">
        <v>8522</v>
      </c>
      <c r="B62" s="6" t="s">
        <v>188</v>
      </c>
      <c r="C62" s="13" t="s">
        <v>197</v>
      </c>
      <c r="D62" s="13" t="str">
        <f ca="1">VLOOKUP(Tabela1[[#This Row],[Área]],'Corrige Area x UF'!$G$1:$I$168,2,FALSE)</f>
        <v>AM</v>
      </c>
      <c r="E62" s="13" t="s">
        <v>199</v>
      </c>
      <c r="F62" s="5"/>
    </row>
    <row r="63" spans="1:6" x14ac:dyDescent="0.25">
      <c r="A63" s="6">
        <v>9300</v>
      </c>
      <c r="B63" s="6" t="s">
        <v>189</v>
      </c>
      <c r="C63" s="13" t="s">
        <v>44</v>
      </c>
      <c r="D63" s="13" t="str">
        <f ca="1">VLOOKUP(Tabela1[[#This Row],[Área]],'Corrige Area x UF'!$G$1:$I$168,2,FALSE)</f>
        <v>RS</v>
      </c>
      <c r="E63" s="13" t="s">
        <v>199</v>
      </c>
      <c r="F63" s="5"/>
    </row>
    <row r="64" spans="1:6" x14ac:dyDescent="0.25">
      <c r="A64" s="6">
        <v>9974</v>
      </c>
      <c r="B64" s="6" t="s">
        <v>190</v>
      </c>
      <c r="C64" s="13" t="s">
        <v>43</v>
      </c>
      <c r="D64" s="13" t="str">
        <f ca="1">VLOOKUP(Tabela1[[#This Row],[Área]],'Corrige Area x UF'!$G$1:$I$168,2,FALSE)</f>
        <v>SC</v>
      </c>
      <c r="E64" s="13" t="s">
        <v>199</v>
      </c>
      <c r="F64" s="5"/>
    </row>
    <row r="65" spans="1:6" x14ac:dyDescent="0.25">
      <c r="A65" s="6">
        <v>46980</v>
      </c>
      <c r="B65" s="6" t="s">
        <v>191</v>
      </c>
      <c r="C65" s="13" t="s">
        <v>42</v>
      </c>
      <c r="D65" s="13" t="str">
        <f ca="1">VLOOKUP(Tabela1[[#This Row],[Área]],'Corrige Area x UF'!$G$1:$I$168,2,FALSE)</f>
        <v>PR</v>
      </c>
      <c r="E65" s="13" t="s">
        <v>199</v>
      </c>
      <c r="F65" s="5"/>
    </row>
    <row r="66" spans="1:6" x14ac:dyDescent="0.25">
      <c r="A66" s="6">
        <v>47076</v>
      </c>
      <c r="B66" s="6" t="s">
        <v>192</v>
      </c>
      <c r="C66" s="13" t="s">
        <v>139</v>
      </c>
      <c r="D66" s="13" t="str">
        <f ca="1">VLOOKUP(Tabela1[[#This Row],[Área]],'Corrige Area x UF'!$G$1:$I$168,2,FALSE)</f>
        <v>RJ</v>
      </c>
      <c r="E66" s="13" t="s">
        <v>199</v>
      </c>
      <c r="F66" s="5"/>
    </row>
    <row r="67" spans="1:6" x14ac:dyDescent="0.25">
      <c r="A67" s="6">
        <v>47281</v>
      </c>
      <c r="B67" s="6" t="s">
        <v>149</v>
      </c>
      <c r="C67" s="13" t="s">
        <v>146</v>
      </c>
      <c r="D67" s="13" t="str">
        <f ca="1">VLOOKUP(Tabela1[[#This Row],[Área]],'Corrige Area x UF'!$G$1:$I$168,2,FALSE)</f>
        <v>SP</v>
      </c>
      <c r="E67" s="13" t="s">
        <v>199</v>
      </c>
      <c r="F67" s="5" t="s">
        <v>150</v>
      </c>
    </row>
    <row r="68" spans="1:6" x14ac:dyDescent="0.25">
      <c r="A68" s="6">
        <v>47282</v>
      </c>
      <c r="B68" s="6" t="s">
        <v>151</v>
      </c>
      <c r="C68" s="13" t="s">
        <v>146</v>
      </c>
      <c r="D68" s="13" t="str">
        <f ca="1">VLOOKUP(Tabela1[[#This Row],[Área]],'Corrige Area x UF'!$G$1:$I$168,2,FALSE)</f>
        <v>SP</v>
      </c>
      <c r="E68" s="13" t="s">
        <v>199</v>
      </c>
      <c r="F68" s="5" t="s">
        <v>152</v>
      </c>
    </row>
    <row r="69" spans="1:6" x14ac:dyDescent="0.25">
      <c r="A69" s="6">
        <v>47289</v>
      </c>
      <c r="B69" s="6" t="s">
        <v>193</v>
      </c>
      <c r="C69" s="13" t="s">
        <v>84</v>
      </c>
      <c r="D69" s="13" t="str">
        <f ca="1">VLOOKUP(Tabela1[[#This Row],[Área]],'Corrige Area x UF'!$G$1:$I$168,2,FALSE)</f>
        <v>ES</v>
      </c>
      <c r="E69" s="13" t="s">
        <v>199</v>
      </c>
      <c r="F69" s="5"/>
    </row>
    <row r="70" spans="1:6" x14ac:dyDescent="0.25">
      <c r="A70" s="6">
        <v>47734</v>
      </c>
      <c r="B70" s="6" t="s">
        <v>153</v>
      </c>
      <c r="C70" s="13" t="s">
        <v>146</v>
      </c>
      <c r="D70" s="13" t="str">
        <f ca="1">VLOOKUP(Tabela1[[#This Row],[Área]],'Corrige Area x UF'!$G$1:$I$168,2,FALSE)</f>
        <v>SP</v>
      </c>
      <c r="E70" s="13" t="s">
        <v>199</v>
      </c>
      <c r="F70" s="5"/>
    </row>
    <row r="71" spans="1:6" x14ac:dyDescent="0.25">
      <c r="A71" s="7">
        <v>440</v>
      </c>
      <c r="B71" s="7" t="s">
        <v>200</v>
      </c>
      <c r="C71" s="12" t="s">
        <v>48</v>
      </c>
      <c r="D71" s="12" t="str">
        <f ca="1">VLOOKUP(Tabela1[[#This Row],[Área]],'Corrige Area x UF'!$G$1:$I$168,2,FALSE)</f>
        <v>SP</v>
      </c>
      <c r="E71" s="12" t="s">
        <v>227</v>
      </c>
      <c r="F71" s="8"/>
    </row>
    <row r="72" spans="1:6" x14ac:dyDescent="0.25">
      <c r="A72" s="7">
        <v>1312</v>
      </c>
      <c r="B72" s="7" t="s">
        <v>201</v>
      </c>
      <c r="C72" s="12" t="s">
        <v>216</v>
      </c>
      <c r="D72" s="12" t="str">
        <f ca="1">VLOOKUP(Tabela1[[#This Row],[Área]],'Corrige Area x UF'!$G$1:$I$168,2,FALSE)</f>
        <v>RS</v>
      </c>
      <c r="E72" s="12" t="s">
        <v>227</v>
      </c>
      <c r="F72" s="8"/>
    </row>
    <row r="73" spans="1:6" x14ac:dyDescent="0.25">
      <c r="A73" s="7">
        <v>8320</v>
      </c>
      <c r="B73" s="7" t="s">
        <v>202</v>
      </c>
      <c r="C73" s="12" t="s">
        <v>217</v>
      </c>
      <c r="D73" s="12" t="str">
        <f ca="1">VLOOKUP(Tabela1[[#This Row],[Área]],'Corrige Area x UF'!$G$1:$I$168,2,FALSE)</f>
        <v>CE</v>
      </c>
      <c r="E73" s="12" t="s">
        <v>227</v>
      </c>
      <c r="F73" s="8"/>
    </row>
    <row r="74" spans="1:6" x14ac:dyDescent="0.25">
      <c r="A74" s="7">
        <v>8323</v>
      </c>
      <c r="B74" s="7" t="s">
        <v>203</v>
      </c>
      <c r="C74" s="12" t="s">
        <v>218</v>
      </c>
      <c r="D74" s="12" t="str">
        <f ca="1">VLOOKUP(Tabela1[[#This Row],[Área]],'Corrige Area x UF'!$G$1:$I$168,2,FALSE)</f>
        <v>PA</v>
      </c>
      <c r="E74" s="12" t="s">
        <v>227</v>
      </c>
      <c r="F74" s="8"/>
    </row>
    <row r="75" spans="1:6" x14ac:dyDescent="0.25">
      <c r="A75" s="7">
        <v>8348</v>
      </c>
      <c r="B75" s="7" t="s">
        <v>204</v>
      </c>
      <c r="C75" s="12" t="s">
        <v>194</v>
      </c>
      <c r="D75" s="12" t="str">
        <f ca="1">VLOOKUP(Tabela1[[#This Row],[Área]],'Corrige Area x UF'!$G$1:$I$168,2,FALSE)</f>
        <v>TO</v>
      </c>
      <c r="E75" s="12" t="s">
        <v>227</v>
      </c>
      <c r="F75" s="8"/>
    </row>
    <row r="76" spans="1:6" x14ac:dyDescent="0.25">
      <c r="A76" s="7">
        <v>10376</v>
      </c>
      <c r="B76" s="7" t="s">
        <v>205</v>
      </c>
      <c r="C76" s="12" t="s">
        <v>42</v>
      </c>
      <c r="D76" s="12" t="str">
        <f ca="1">VLOOKUP(Tabela1[[#This Row],[Área]],'Corrige Area x UF'!$G$1:$I$168,2,FALSE)</f>
        <v>PR</v>
      </c>
      <c r="E76" s="12" t="s">
        <v>227</v>
      </c>
      <c r="F76" s="8"/>
    </row>
    <row r="77" spans="1:6" x14ac:dyDescent="0.25">
      <c r="A77" s="7">
        <v>10728</v>
      </c>
      <c r="B77" s="7" t="s">
        <v>206</v>
      </c>
      <c r="C77" s="12" t="s">
        <v>219</v>
      </c>
      <c r="D77" s="12" t="str">
        <f ca="1">VLOOKUP(Tabela1[[#This Row],[Área]],'Corrige Area x UF'!$G$1:$I$168,2,FALSE)</f>
        <v>RS</v>
      </c>
      <c r="E77" s="12" t="s">
        <v>227</v>
      </c>
      <c r="F77" s="8"/>
    </row>
    <row r="78" spans="1:6" x14ac:dyDescent="0.25">
      <c r="A78" s="7">
        <v>10730</v>
      </c>
      <c r="B78" s="7" t="s">
        <v>207</v>
      </c>
      <c r="C78" s="12" t="s">
        <v>220</v>
      </c>
      <c r="D78" s="12" t="str">
        <f ca="1">VLOOKUP(Tabela1[[#This Row],[Área]],'Corrige Area x UF'!$G$1:$I$168,2,FALSE)</f>
        <v>SC</v>
      </c>
      <c r="E78" s="12" t="s">
        <v>227</v>
      </c>
      <c r="F78" s="8"/>
    </row>
    <row r="79" spans="1:6" x14ac:dyDescent="0.25">
      <c r="A79" s="7">
        <v>10734</v>
      </c>
      <c r="B79" s="7" t="s">
        <v>208</v>
      </c>
      <c r="C79" s="12" t="s">
        <v>221</v>
      </c>
      <c r="D79" s="12" t="str">
        <f ca="1">VLOOKUP(Tabela1[[#This Row],[Área]],'Corrige Area x UF'!$G$1:$I$168,2,FALSE)</f>
        <v>SC</v>
      </c>
      <c r="E79" s="12" t="s">
        <v>227</v>
      </c>
      <c r="F79" s="8"/>
    </row>
    <row r="80" spans="1:6" x14ac:dyDescent="0.25">
      <c r="A80" s="7">
        <v>10735</v>
      </c>
      <c r="B80" s="7" t="s">
        <v>209</v>
      </c>
      <c r="C80" s="12" t="s">
        <v>222</v>
      </c>
      <c r="D80" s="12" t="str">
        <f ca="1">VLOOKUP(Tabela1[[#This Row],[Área]],'Corrige Area x UF'!$G$1:$I$168,2,FALSE)</f>
        <v>SC</v>
      </c>
      <c r="E80" s="12" t="s">
        <v>227</v>
      </c>
      <c r="F80" s="8"/>
    </row>
    <row r="81" spans="1:6" x14ac:dyDescent="0.25">
      <c r="A81" s="7">
        <v>10801</v>
      </c>
      <c r="B81" s="7" t="s">
        <v>210</v>
      </c>
      <c r="C81" s="12" t="s">
        <v>222</v>
      </c>
      <c r="D81" s="12" t="str">
        <f ca="1">VLOOKUP(Tabela1[[#This Row],[Área]],'Corrige Area x UF'!$G$1:$I$168,2,FALSE)</f>
        <v>SC</v>
      </c>
      <c r="E81" s="12" t="s">
        <v>227</v>
      </c>
      <c r="F81" s="8"/>
    </row>
    <row r="82" spans="1:6" x14ac:dyDescent="0.25">
      <c r="A82" s="7">
        <v>41920</v>
      </c>
      <c r="B82" s="7" t="s">
        <v>211</v>
      </c>
      <c r="C82" s="12" t="s">
        <v>48</v>
      </c>
      <c r="D82" s="12" t="str">
        <f ca="1">VLOOKUP(Tabela1[[#This Row],[Área]],'Corrige Area x UF'!$G$1:$I$168,2,FALSE)</f>
        <v>SP</v>
      </c>
      <c r="E82" s="12" t="s">
        <v>227</v>
      </c>
      <c r="F82" s="8"/>
    </row>
    <row r="83" spans="1:6" x14ac:dyDescent="0.25">
      <c r="A83" s="7">
        <v>46183</v>
      </c>
      <c r="B83" s="7" t="s">
        <v>212</v>
      </c>
      <c r="C83" s="12" t="s">
        <v>223</v>
      </c>
      <c r="D83" s="12" t="str">
        <f ca="1">VLOOKUP(Tabela1[[#This Row],[Área]],'Corrige Area x UF'!$G$1:$I$168,2,FALSE)</f>
        <v>PI</v>
      </c>
      <c r="E83" s="12" t="s">
        <v>227</v>
      </c>
      <c r="F83" s="8"/>
    </row>
    <row r="84" spans="1:6" x14ac:dyDescent="0.25">
      <c r="A84" s="7">
        <v>48229</v>
      </c>
      <c r="B84" s="7" t="s">
        <v>213</v>
      </c>
      <c r="C84" s="12" t="s">
        <v>224</v>
      </c>
      <c r="D84" s="12" t="str">
        <f ca="1">VLOOKUP(Tabela1[[#This Row],[Área]],'Corrige Area x UF'!$G$1:$I$168,2,FALSE)</f>
        <v>BA</v>
      </c>
      <c r="E84" s="12" t="s">
        <v>227</v>
      </c>
      <c r="F84" s="8"/>
    </row>
    <row r="85" spans="1:6" x14ac:dyDescent="0.25">
      <c r="A85" s="7">
        <v>48230</v>
      </c>
      <c r="B85" s="7" t="s">
        <v>214</v>
      </c>
      <c r="C85" s="12" t="s">
        <v>225</v>
      </c>
      <c r="D85" s="12" t="str">
        <f ca="1">VLOOKUP(Tabela1[[#This Row],[Área]],'Corrige Area x UF'!$G$1:$I$168,2,FALSE)</f>
        <v>BA</v>
      </c>
      <c r="E85" s="12" t="s">
        <v>227</v>
      </c>
      <c r="F85" s="8"/>
    </row>
    <row r="86" spans="1:6" x14ac:dyDescent="0.25">
      <c r="A86" s="7">
        <v>48233</v>
      </c>
      <c r="B86" s="7" t="s">
        <v>215</v>
      </c>
      <c r="C86" s="12" t="s">
        <v>226</v>
      </c>
      <c r="D86" s="12" t="str">
        <f ca="1">VLOOKUP(Tabela1[[#This Row],[Área]],'Corrige Area x UF'!$G$1:$I$168,2,FALSE)</f>
        <v>BA</v>
      </c>
      <c r="E86" s="12" t="s">
        <v>227</v>
      </c>
      <c r="F86" s="8"/>
    </row>
    <row r="87" spans="1:6" x14ac:dyDescent="0.25">
      <c r="A87" s="7">
        <v>211</v>
      </c>
      <c r="B87" s="7" t="s">
        <v>228</v>
      </c>
      <c r="C87" s="12" t="s">
        <v>321</v>
      </c>
      <c r="D87" s="12" t="str">
        <f ca="1">VLOOKUP(Tabela1[[#This Row],[Área]],'Corrige Area x UF'!$G$1:$I$168,2,FALSE)</f>
        <v>RJ</v>
      </c>
      <c r="E87" s="12" t="s">
        <v>327</v>
      </c>
      <c r="F87" s="8"/>
    </row>
    <row r="88" spans="1:6" x14ac:dyDescent="0.25">
      <c r="A88" s="7">
        <v>212</v>
      </c>
      <c r="B88" s="7" t="s">
        <v>229</v>
      </c>
      <c r="C88" s="12" t="s">
        <v>321</v>
      </c>
      <c r="D88" s="12" t="str">
        <f ca="1">VLOOKUP(Tabela1[[#This Row],[Área]],'Corrige Area x UF'!$G$1:$I$168,2,FALSE)</f>
        <v>RJ</v>
      </c>
      <c r="E88" s="12" t="s">
        <v>327</v>
      </c>
      <c r="F88" s="8"/>
    </row>
    <row r="89" spans="1:6" x14ac:dyDescent="0.25">
      <c r="A89" s="7">
        <v>1162</v>
      </c>
      <c r="B89" s="7" t="s">
        <v>230</v>
      </c>
      <c r="C89" s="12" t="s">
        <v>44</v>
      </c>
      <c r="D89" s="12" t="str">
        <f ca="1">VLOOKUP(Tabela1[[#This Row],[Área]],'Corrige Area x UF'!$G$1:$I$168,2,FALSE)</f>
        <v>RS</v>
      </c>
      <c r="E89" s="12" t="s">
        <v>327</v>
      </c>
      <c r="F89" s="8"/>
    </row>
    <row r="90" spans="1:6" x14ac:dyDescent="0.25">
      <c r="A90" s="7">
        <v>1181</v>
      </c>
      <c r="B90" s="7" t="s">
        <v>231</v>
      </c>
      <c r="C90" s="12" t="s">
        <v>44</v>
      </c>
      <c r="D90" s="12" t="str">
        <f ca="1">VLOOKUP(Tabela1[[#This Row],[Área]],'Corrige Area x UF'!$G$1:$I$168,2,FALSE)</f>
        <v>RS</v>
      </c>
      <c r="E90" s="12" t="s">
        <v>327</v>
      </c>
      <c r="F90" s="8"/>
    </row>
    <row r="91" spans="1:6" x14ac:dyDescent="0.25">
      <c r="A91" s="7">
        <v>1499</v>
      </c>
      <c r="B91" s="7" t="s">
        <v>232</v>
      </c>
      <c r="C91" s="12" t="s">
        <v>49</v>
      </c>
      <c r="D91" s="12" t="str">
        <f ca="1">VLOOKUP(Tabela1[[#This Row],[Área]],'Corrige Area x UF'!$G$1:$I$168,2,FALSE)</f>
        <v>MG</v>
      </c>
      <c r="E91" s="12" t="s">
        <v>327</v>
      </c>
      <c r="F91" s="8"/>
    </row>
    <row r="92" spans="1:6" x14ac:dyDescent="0.25">
      <c r="A92" s="7">
        <v>1619</v>
      </c>
      <c r="B92" s="7" t="s">
        <v>233</v>
      </c>
      <c r="C92" s="12" t="s">
        <v>135</v>
      </c>
      <c r="D92" s="12" t="str">
        <f ca="1">VLOOKUP(Tabela1[[#This Row],[Área]],'Corrige Area x UF'!$G$1:$I$168,2,FALSE)</f>
        <v>RJ</v>
      </c>
      <c r="E92" s="12" t="s">
        <v>327</v>
      </c>
      <c r="F92" s="8"/>
    </row>
    <row r="93" spans="1:6" x14ac:dyDescent="0.25">
      <c r="A93" s="7">
        <v>2481</v>
      </c>
      <c r="B93" s="7" t="s">
        <v>234</v>
      </c>
      <c r="C93" s="12" t="s">
        <v>42</v>
      </c>
      <c r="D93" s="12" t="str">
        <f ca="1">VLOOKUP(Tabela1[[#This Row],[Área]],'Corrige Area x UF'!$G$1:$I$168,2,FALSE)</f>
        <v>PR</v>
      </c>
      <c r="E93" s="12" t="s">
        <v>327</v>
      </c>
      <c r="F93" s="8"/>
    </row>
    <row r="94" spans="1:6" x14ac:dyDescent="0.25">
      <c r="A94" s="7">
        <v>3229</v>
      </c>
      <c r="B94" s="7" t="s">
        <v>235</v>
      </c>
      <c r="C94" s="12" t="s">
        <v>135</v>
      </c>
      <c r="D94" s="12" t="str">
        <f ca="1">VLOOKUP(Tabela1[[#This Row],[Área]],'Corrige Area x UF'!$G$1:$I$168,2,FALSE)</f>
        <v>RJ</v>
      </c>
      <c r="E94" s="12" t="s">
        <v>327</v>
      </c>
      <c r="F94" s="8"/>
    </row>
    <row r="95" spans="1:6" x14ac:dyDescent="0.25">
      <c r="A95" s="7">
        <v>3438</v>
      </c>
      <c r="B95" s="7" t="s">
        <v>172</v>
      </c>
      <c r="C95" s="12" t="s">
        <v>173</v>
      </c>
      <c r="D95" s="12" t="str">
        <f ca="1">VLOOKUP(Tabela1[[#This Row],[Área]],'Corrige Area x UF'!$G$1:$I$168,2,FALSE)</f>
        <v>SP</v>
      </c>
      <c r="E95" s="12" t="s">
        <v>327</v>
      </c>
      <c r="F95" s="8"/>
    </row>
    <row r="96" spans="1:6" x14ac:dyDescent="0.25">
      <c r="A96" s="7">
        <v>3439</v>
      </c>
      <c r="B96" s="7" t="s">
        <v>174</v>
      </c>
      <c r="C96" s="12" t="s">
        <v>173</v>
      </c>
      <c r="D96" s="12" t="str">
        <f ca="1">VLOOKUP(Tabela1[[#This Row],[Área]],'Corrige Area x UF'!$G$1:$I$168,2,FALSE)</f>
        <v>SP</v>
      </c>
      <c r="E96" s="12" t="s">
        <v>327</v>
      </c>
      <c r="F96" s="8"/>
    </row>
    <row r="97" spans="1:6" x14ac:dyDescent="0.25">
      <c r="A97" s="7">
        <v>4498</v>
      </c>
      <c r="B97" s="7" t="s">
        <v>236</v>
      </c>
      <c r="C97" s="12" t="s">
        <v>322</v>
      </c>
      <c r="D97" s="12" t="str">
        <f ca="1">VLOOKUP(Tabela1[[#This Row],[Área]],'Corrige Area x UF'!$G$1:$I$168,2,FALSE)</f>
        <v>MT</v>
      </c>
      <c r="E97" s="12" t="s">
        <v>327</v>
      </c>
      <c r="F97" s="8"/>
    </row>
    <row r="98" spans="1:6" x14ac:dyDescent="0.25">
      <c r="A98" s="7">
        <v>4499</v>
      </c>
      <c r="B98" s="7" t="s">
        <v>237</v>
      </c>
      <c r="C98" s="12" t="s">
        <v>322</v>
      </c>
      <c r="D98" s="12" t="str">
        <f ca="1">VLOOKUP(Tabela1[[#This Row],[Área]],'Corrige Area x UF'!$G$1:$I$168,2,FALSE)</f>
        <v>MT</v>
      </c>
      <c r="E98" s="12" t="s">
        <v>327</v>
      </c>
      <c r="F98" s="8"/>
    </row>
    <row r="99" spans="1:6" x14ac:dyDescent="0.25">
      <c r="A99" s="7">
        <v>5388</v>
      </c>
      <c r="B99" s="7" t="s">
        <v>238</v>
      </c>
      <c r="C99" s="12" t="s">
        <v>323</v>
      </c>
      <c r="D99" s="12" t="str">
        <f ca="1">VLOOKUP(Tabela1[[#This Row],[Área]],'Corrige Area x UF'!$G$1:$I$168,2,FALSE)</f>
        <v>CE</v>
      </c>
      <c r="E99" s="12" t="s">
        <v>327</v>
      </c>
      <c r="F99" s="8"/>
    </row>
    <row r="100" spans="1:6" x14ac:dyDescent="0.25">
      <c r="A100" s="7">
        <v>5450</v>
      </c>
      <c r="B100" s="7" t="s">
        <v>239</v>
      </c>
      <c r="C100" s="12" t="s">
        <v>323</v>
      </c>
      <c r="D100" s="12" t="str">
        <f ca="1">VLOOKUP(Tabela1[[#This Row],[Área]],'Corrige Area x UF'!$G$1:$I$168,2,FALSE)</f>
        <v>CE</v>
      </c>
      <c r="E100" s="12" t="s">
        <v>327</v>
      </c>
      <c r="F100" s="8"/>
    </row>
    <row r="101" spans="1:6" x14ac:dyDescent="0.25">
      <c r="A101" s="7">
        <v>5509</v>
      </c>
      <c r="B101" s="7" t="s">
        <v>240</v>
      </c>
      <c r="C101" s="12" t="s">
        <v>323</v>
      </c>
      <c r="D101" s="12" t="str">
        <f ca="1">VLOOKUP(Tabela1[[#This Row],[Área]],'Corrige Area x UF'!$G$1:$I$168,2,FALSE)</f>
        <v>PI</v>
      </c>
      <c r="E101" s="12" t="s">
        <v>327</v>
      </c>
      <c r="F101" s="8"/>
    </row>
    <row r="102" spans="1:6" x14ac:dyDescent="0.25">
      <c r="A102" s="7">
        <v>5596</v>
      </c>
      <c r="B102" s="7" t="s">
        <v>241</v>
      </c>
      <c r="C102" s="12" t="s">
        <v>322</v>
      </c>
      <c r="D102" s="12" t="str">
        <f ca="1">VLOOKUP(Tabela1[[#This Row],[Área]],'Corrige Area x UF'!$G$1:$I$168,2,FALSE)</f>
        <v>MA</v>
      </c>
      <c r="E102" s="12" t="s">
        <v>327</v>
      </c>
      <c r="F102" s="8"/>
    </row>
    <row r="103" spans="1:6" x14ac:dyDescent="0.25">
      <c r="A103" s="7">
        <v>7037</v>
      </c>
      <c r="B103" s="7" t="s">
        <v>242</v>
      </c>
      <c r="C103" s="12" t="s">
        <v>46</v>
      </c>
      <c r="D103" s="12" t="str">
        <f ca="1">VLOOKUP(Tabela1[[#This Row],[Área]],'Corrige Area x UF'!$G$1:$I$168,2,FALSE)</f>
        <v>CE</v>
      </c>
      <c r="E103" s="12" t="s">
        <v>327</v>
      </c>
      <c r="F103" s="8"/>
    </row>
    <row r="104" spans="1:6" x14ac:dyDescent="0.25">
      <c r="A104" s="7">
        <v>7038</v>
      </c>
      <c r="B104" s="7" t="s">
        <v>243</v>
      </c>
      <c r="C104" s="12" t="s">
        <v>46</v>
      </c>
      <c r="D104" s="12" t="str">
        <f ca="1">VLOOKUP(Tabela1[[#This Row],[Área]],'Corrige Area x UF'!$G$1:$I$168,2,FALSE)</f>
        <v>CE</v>
      </c>
      <c r="E104" s="12" t="s">
        <v>327</v>
      </c>
      <c r="F104" s="8"/>
    </row>
    <row r="105" spans="1:6" x14ac:dyDescent="0.25">
      <c r="A105" s="7">
        <v>7519</v>
      </c>
      <c r="B105" s="7" t="s">
        <v>244</v>
      </c>
      <c r="C105" s="12" t="s">
        <v>139</v>
      </c>
      <c r="D105" s="12" t="str">
        <f ca="1">VLOOKUP(Tabela1[[#This Row],[Área]],'Corrige Area x UF'!$G$1:$I$168,2,FALSE)</f>
        <v>RJ</v>
      </c>
      <c r="E105" s="12" t="s">
        <v>327</v>
      </c>
      <c r="F105" s="8"/>
    </row>
    <row r="106" spans="1:6" x14ac:dyDescent="0.25">
      <c r="A106" s="7">
        <v>7520</v>
      </c>
      <c r="B106" s="7" t="s">
        <v>245</v>
      </c>
      <c r="C106" s="12" t="s">
        <v>139</v>
      </c>
      <c r="D106" s="12" t="str">
        <f ca="1">VLOOKUP(Tabela1[[#This Row],[Área]],'Corrige Area x UF'!$G$1:$I$168,2,FALSE)</f>
        <v>RJ</v>
      </c>
      <c r="E106" s="12" t="s">
        <v>327</v>
      </c>
      <c r="F106" s="8"/>
    </row>
    <row r="107" spans="1:6" x14ac:dyDescent="0.25">
      <c r="A107" s="7">
        <v>7566</v>
      </c>
      <c r="B107" s="7" t="s">
        <v>246</v>
      </c>
      <c r="C107" s="12" t="s">
        <v>46</v>
      </c>
      <c r="D107" s="12" t="str">
        <f ca="1">VLOOKUP(Tabela1[[#This Row],[Área]],'Corrige Area x UF'!$G$1:$I$168,2,FALSE)</f>
        <v>RO</v>
      </c>
      <c r="E107" s="12" t="s">
        <v>327</v>
      </c>
      <c r="F107" s="8"/>
    </row>
    <row r="108" spans="1:6" x14ac:dyDescent="0.25">
      <c r="A108" s="7">
        <v>7567</v>
      </c>
      <c r="B108" s="7" t="s">
        <v>247</v>
      </c>
      <c r="C108" s="12" t="s">
        <v>46</v>
      </c>
      <c r="D108" s="12" t="str">
        <f ca="1">VLOOKUP(Tabela1[[#This Row],[Área]],'Corrige Area x UF'!$G$1:$I$168,2,FALSE)</f>
        <v>RO</v>
      </c>
      <c r="E108" s="12" t="s">
        <v>327</v>
      </c>
      <c r="F108" s="8"/>
    </row>
    <row r="109" spans="1:6" x14ac:dyDescent="0.25">
      <c r="A109" s="7">
        <v>8287</v>
      </c>
      <c r="B109" s="7" t="s">
        <v>248</v>
      </c>
      <c r="C109" s="12" t="s">
        <v>46</v>
      </c>
      <c r="D109" s="12" t="str">
        <f ca="1">VLOOKUP(Tabela1[[#This Row],[Área]],'Corrige Area x UF'!$G$1:$I$168,2,FALSE)</f>
        <v>AP</v>
      </c>
      <c r="E109" s="12" t="s">
        <v>327</v>
      </c>
      <c r="F109" s="8"/>
    </row>
    <row r="110" spans="1:6" x14ac:dyDescent="0.25">
      <c r="A110" s="7">
        <v>8293</v>
      </c>
      <c r="B110" s="7" t="s">
        <v>249</v>
      </c>
      <c r="C110" s="12" t="s">
        <v>46</v>
      </c>
      <c r="D110" s="12" t="str">
        <f ca="1">VLOOKUP(Tabela1[[#This Row],[Área]],'Corrige Area x UF'!$G$1:$I$168,2,FALSE)</f>
        <v>AP</v>
      </c>
      <c r="E110" s="12" t="s">
        <v>327</v>
      </c>
      <c r="F110" s="8"/>
    </row>
    <row r="111" spans="1:6" x14ac:dyDescent="0.25">
      <c r="A111" s="7">
        <v>8319</v>
      </c>
      <c r="B111" s="7" t="s">
        <v>250</v>
      </c>
      <c r="C111" s="12" t="s">
        <v>217</v>
      </c>
      <c r="D111" s="12" t="str">
        <f ca="1">VLOOKUP(Tabela1[[#This Row],[Área]],'Corrige Area x UF'!$G$1:$I$168,2,FALSE)</f>
        <v>CE</v>
      </c>
      <c r="E111" s="12" t="s">
        <v>327</v>
      </c>
      <c r="F111" s="8"/>
    </row>
    <row r="112" spans="1:6" x14ac:dyDescent="0.25">
      <c r="A112" s="7">
        <v>8349</v>
      </c>
      <c r="B112" s="7" t="s">
        <v>251</v>
      </c>
      <c r="C112" s="12" t="s">
        <v>324</v>
      </c>
      <c r="D112" s="12" t="str">
        <f ca="1">VLOOKUP(Tabela1[[#This Row],[Área]],'Corrige Area x UF'!$G$1:$I$168,2,FALSE)</f>
        <v>TO</v>
      </c>
      <c r="E112" s="12" t="s">
        <v>327</v>
      </c>
      <c r="F112" s="8"/>
    </row>
    <row r="113" spans="1:6" x14ac:dyDescent="0.25">
      <c r="A113" s="7">
        <v>8458</v>
      </c>
      <c r="B113" s="7" t="s">
        <v>252</v>
      </c>
      <c r="C113" s="12" t="s">
        <v>179</v>
      </c>
      <c r="D113" s="12" t="str">
        <f ca="1">VLOOKUP(Tabela1[[#This Row],[Área]],'Corrige Area x UF'!$G$1:$I$168,2,FALSE)</f>
        <v>MA</v>
      </c>
      <c r="E113" s="12" t="s">
        <v>327</v>
      </c>
      <c r="F113" s="8"/>
    </row>
    <row r="114" spans="1:6" x14ac:dyDescent="0.25">
      <c r="A114" s="7">
        <v>8585</v>
      </c>
      <c r="B114" s="7" t="s">
        <v>253</v>
      </c>
      <c r="C114" s="12" t="s">
        <v>46</v>
      </c>
      <c r="D114" s="12" t="str">
        <f ca="1">VLOOKUP(Tabela1[[#This Row],[Área]],'Corrige Area x UF'!$G$1:$I$168,2,FALSE)</f>
        <v>AM</v>
      </c>
      <c r="E114" s="12" t="s">
        <v>327</v>
      </c>
      <c r="F114" s="8"/>
    </row>
    <row r="115" spans="1:6" x14ac:dyDescent="0.25">
      <c r="A115" s="7">
        <v>8586</v>
      </c>
      <c r="B115" s="7" t="s">
        <v>254</v>
      </c>
      <c r="C115" s="12" t="s">
        <v>46</v>
      </c>
      <c r="D115" s="12" t="str">
        <f ca="1">VLOOKUP(Tabela1[[#This Row],[Área]],'Corrige Area x UF'!$G$1:$I$168,2,FALSE)</f>
        <v>AM</v>
      </c>
      <c r="E115" s="12" t="s">
        <v>327</v>
      </c>
      <c r="F115" s="8"/>
    </row>
    <row r="116" spans="1:6" x14ac:dyDescent="0.25">
      <c r="A116" s="7">
        <v>9633</v>
      </c>
      <c r="B116" s="7" t="s">
        <v>255</v>
      </c>
      <c r="C116" s="12" t="s">
        <v>135</v>
      </c>
      <c r="D116" s="12" t="str">
        <f ca="1">VLOOKUP(Tabela1[[#This Row],[Área]],'Corrige Area x UF'!$G$1:$I$168,2,FALSE)</f>
        <v>RJ</v>
      </c>
      <c r="E116" s="12" t="s">
        <v>327</v>
      </c>
      <c r="F116" s="8"/>
    </row>
    <row r="117" spans="1:6" x14ac:dyDescent="0.25">
      <c r="A117" s="7">
        <v>9855</v>
      </c>
      <c r="B117" s="7" t="s">
        <v>256</v>
      </c>
      <c r="C117" s="12" t="s">
        <v>325</v>
      </c>
      <c r="D117" s="12" t="str">
        <f ca="1">VLOOKUP(Tabela1[[#This Row],[Área]],'Corrige Area x UF'!$G$1:$I$168,2,FALSE)</f>
        <v>RS</v>
      </c>
      <c r="E117" s="12" t="s">
        <v>327</v>
      </c>
      <c r="F117" s="8"/>
    </row>
    <row r="118" spans="1:6" x14ac:dyDescent="0.25">
      <c r="A118" s="7">
        <v>10055</v>
      </c>
      <c r="B118" s="7" t="s">
        <v>257</v>
      </c>
      <c r="C118" s="12" t="s">
        <v>42</v>
      </c>
      <c r="D118" s="12" t="str">
        <f ca="1">VLOOKUP(Tabela1[[#This Row],[Área]],'Corrige Area x UF'!$G$1:$I$168,2,FALSE)</f>
        <v>SC</v>
      </c>
      <c r="E118" s="12" t="s">
        <v>327</v>
      </c>
      <c r="F118" s="8"/>
    </row>
    <row r="119" spans="1:6" x14ac:dyDescent="0.25">
      <c r="A119" s="7">
        <v>10056</v>
      </c>
      <c r="B119" s="7" t="s">
        <v>258</v>
      </c>
      <c r="C119" s="12" t="s">
        <v>46</v>
      </c>
      <c r="D119" s="12" t="str">
        <f ca="1">VLOOKUP(Tabela1[[#This Row],[Área]],'Corrige Area x UF'!$G$1:$I$168,2,FALSE)</f>
        <v>SC</v>
      </c>
      <c r="E119" s="12" t="s">
        <v>327</v>
      </c>
      <c r="F119" s="8"/>
    </row>
    <row r="120" spans="1:6" x14ac:dyDescent="0.25">
      <c r="A120" s="7">
        <v>10057</v>
      </c>
      <c r="B120" s="7" t="s">
        <v>259</v>
      </c>
      <c r="C120" s="12" t="s">
        <v>46</v>
      </c>
      <c r="D120" s="12" t="str">
        <f ca="1">VLOOKUP(Tabela1[[#This Row],[Área]],'Corrige Area x UF'!$G$1:$I$168,2,FALSE)</f>
        <v>SC</v>
      </c>
      <c r="E120" s="12" t="s">
        <v>327</v>
      </c>
      <c r="F120" s="8"/>
    </row>
    <row r="121" spans="1:6" x14ac:dyDescent="0.25">
      <c r="A121" s="7">
        <v>10058</v>
      </c>
      <c r="B121" s="7" t="s">
        <v>260</v>
      </c>
      <c r="C121" s="12" t="s">
        <v>46</v>
      </c>
      <c r="D121" s="12" t="str">
        <f ca="1">VLOOKUP(Tabela1[[#This Row],[Área]],'Corrige Area x UF'!$G$1:$I$168,2,FALSE)</f>
        <v>SC</v>
      </c>
      <c r="E121" s="12" t="s">
        <v>327</v>
      </c>
      <c r="F121" s="8"/>
    </row>
    <row r="122" spans="1:6" x14ac:dyDescent="0.25">
      <c r="A122" s="7">
        <v>10059</v>
      </c>
      <c r="B122" s="7" t="s">
        <v>261</v>
      </c>
      <c r="C122" s="12" t="s">
        <v>46</v>
      </c>
      <c r="D122" s="12" t="str">
        <f ca="1">VLOOKUP(Tabela1[[#This Row],[Área]],'Corrige Area x UF'!$G$1:$I$168,2,FALSE)</f>
        <v>SC</v>
      </c>
      <c r="E122" s="12" t="s">
        <v>327</v>
      </c>
      <c r="F122" s="8"/>
    </row>
    <row r="123" spans="1:6" x14ac:dyDescent="0.25">
      <c r="A123" s="7">
        <v>10060</v>
      </c>
      <c r="B123" s="7" t="s">
        <v>262</v>
      </c>
      <c r="C123" s="12" t="s">
        <v>46</v>
      </c>
      <c r="D123" s="12" t="str">
        <f ca="1">VLOOKUP(Tabela1[[#This Row],[Área]],'Corrige Area x UF'!$G$1:$I$168,2,FALSE)</f>
        <v>SC</v>
      </c>
      <c r="E123" s="12" t="s">
        <v>327</v>
      </c>
      <c r="F123" s="8"/>
    </row>
    <row r="124" spans="1:6" x14ac:dyDescent="0.25">
      <c r="A124" s="7">
        <v>10061</v>
      </c>
      <c r="B124" s="7" t="s">
        <v>263</v>
      </c>
      <c r="C124" s="12" t="s">
        <v>46</v>
      </c>
      <c r="D124" s="12" t="str">
        <f ca="1">VLOOKUP(Tabela1[[#This Row],[Área]],'Corrige Area x UF'!$G$1:$I$168,2,FALSE)</f>
        <v>SC</v>
      </c>
      <c r="E124" s="12" t="s">
        <v>327</v>
      </c>
      <c r="F124" s="8"/>
    </row>
    <row r="125" spans="1:6" x14ac:dyDescent="0.25">
      <c r="A125" s="7">
        <v>10062</v>
      </c>
      <c r="B125" s="7" t="s">
        <v>264</v>
      </c>
      <c r="C125" s="12" t="s">
        <v>46</v>
      </c>
      <c r="D125" s="12" t="str">
        <f ca="1">VLOOKUP(Tabela1[[#This Row],[Área]],'Corrige Area x UF'!$G$1:$I$168,2,FALSE)</f>
        <v>SC</v>
      </c>
      <c r="E125" s="12" t="s">
        <v>327</v>
      </c>
      <c r="F125" s="8"/>
    </row>
    <row r="126" spans="1:6" x14ac:dyDescent="0.25">
      <c r="A126" s="7">
        <v>10063</v>
      </c>
      <c r="B126" s="7" t="s">
        <v>265</v>
      </c>
      <c r="C126" s="12" t="s">
        <v>46</v>
      </c>
      <c r="D126" s="12" t="str">
        <f ca="1">VLOOKUP(Tabela1[[#This Row],[Área]],'Corrige Area x UF'!$G$1:$I$168,2,FALSE)</f>
        <v>SC</v>
      </c>
      <c r="E126" s="12" t="s">
        <v>327</v>
      </c>
      <c r="F126" s="8"/>
    </row>
    <row r="127" spans="1:6" x14ac:dyDescent="0.25">
      <c r="A127" s="7">
        <v>10064</v>
      </c>
      <c r="B127" s="7" t="s">
        <v>266</v>
      </c>
      <c r="C127" s="12" t="s">
        <v>46</v>
      </c>
      <c r="D127" s="12" t="str">
        <f ca="1">VLOOKUP(Tabela1[[#This Row],[Área]],'Corrige Area x UF'!$G$1:$I$168,2,FALSE)</f>
        <v>SC</v>
      </c>
      <c r="E127" s="12" t="s">
        <v>327</v>
      </c>
      <c r="F127" s="8"/>
    </row>
    <row r="128" spans="1:6" x14ac:dyDescent="0.25">
      <c r="A128" s="7">
        <v>10065</v>
      </c>
      <c r="B128" s="7" t="s">
        <v>267</v>
      </c>
      <c r="C128" s="12" t="s">
        <v>46</v>
      </c>
      <c r="D128" s="12" t="str">
        <f ca="1">VLOOKUP(Tabela1[[#This Row],[Área]],'Corrige Area x UF'!$G$1:$I$168,2,FALSE)</f>
        <v>SC</v>
      </c>
      <c r="E128" s="12" t="s">
        <v>327</v>
      </c>
      <c r="F128" s="8"/>
    </row>
    <row r="129" spans="1:6" x14ac:dyDescent="0.25">
      <c r="A129" s="7">
        <v>10066</v>
      </c>
      <c r="B129" s="7" t="s">
        <v>268</v>
      </c>
      <c r="C129" s="12" t="s">
        <v>46</v>
      </c>
      <c r="D129" s="12" t="str">
        <f ca="1">VLOOKUP(Tabela1[[#This Row],[Área]],'Corrige Area x UF'!$G$1:$I$168,2,FALSE)</f>
        <v>SC</v>
      </c>
      <c r="E129" s="12" t="s">
        <v>327</v>
      </c>
      <c r="F129" s="8"/>
    </row>
    <row r="130" spans="1:6" x14ac:dyDescent="0.25">
      <c r="A130" s="7">
        <v>10067</v>
      </c>
      <c r="B130" s="7" t="s">
        <v>269</v>
      </c>
      <c r="C130" s="12" t="s">
        <v>46</v>
      </c>
      <c r="D130" s="12" t="str">
        <f ca="1">VLOOKUP(Tabela1[[#This Row],[Área]],'Corrige Area x UF'!$G$1:$I$168,2,FALSE)</f>
        <v>SC</v>
      </c>
      <c r="E130" s="12" t="s">
        <v>327</v>
      </c>
      <c r="F130" s="8"/>
    </row>
    <row r="131" spans="1:6" x14ac:dyDescent="0.25">
      <c r="A131" s="7">
        <v>10733</v>
      </c>
      <c r="B131" s="7" t="s">
        <v>270</v>
      </c>
      <c r="C131" s="12" t="s">
        <v>46</v>
      </c>
      <c r="D131" s="12" t="str">
        <f ca="1">VLOOKUP(Tabela1[[#This Row],[Área]],'Corrige Area x UF'!$G$1:$I$168,2,FALSE)</f>
        <v>SC</v>
      </c>
      <c r="E131" s="12" t="s">
        <v>327</v>
      </c>
      <c r="F131" s="8"/>
    </row>
    <row r="132" spans="1:6" x14ac:dyDescent="0.25">
      <c r="A132" s="7">
        <v>10736</v>
      </c>
      <c r="B132" s="7" t="s">
        <v>271</v>
      </c>
      <c r="C132" s="12" t="s">
        <v>221</v>
      </c>
      <c r="D132" s="12" t="str">
        <f ca="1">VLOOKUP(Tabela1[[#This Row],[Área]],'Corrige Area x UF'!$G$1:$I$168,2,FALSE)</f>
        <v>SC</v>
      </c>
      <c r="E132" s="12" t="s">
        <v>327</v>
      </c>
      <c r="F132" s="8"/>
    </row>
    <row r="133" spans="1:6" x14ac:dyDescent="0.25">
      <c r="A133" s="7">
        <v>10737</v>
      </c>
      <c r="B133" s="7" t="s">
        <v>272</v>
      </c>
      <c r="C133" s="12" t="s">
        <v>222</v>
      </c>
      <c r="D133" s="12" t="str">
        <f ca="1">VLOOKUP(Tabela1[[#This Row],[Área]],'Corrige Area x UF'!$G$1:$I$168,2,FALSE)</f>
        <v>SC</v>
      </c>
      <c r="E133" s="12" t="s">
        <v>327</v>
      </c>
      <c r="F133" s="8"/>
    </row>
    <row r="134" spans="1:6" x14ac:dyDescent="0.25">
      <c r="A134" s="7">
        <v>10738</v>
      </c>
      <c r="B134" s="7" t="s">
        <v>273</v>
      </c>
      <c r="C134" s="12" t="s">
        <v>221</v>
      </c>
      <c r="D134" s="12" t="str">
        <f ca="1">VLOOKUP(Tabela1[[#This Row],[Área]],'Corrige Area x UF'!$G$1:$I$168,2,FALSE)</f>
        <v>SC</v>
      </c>
      <c r="E134" s="12" t="s">
        <v>327</v>
      </c>
      <c r="F134" s="8"/>
    </row>
    <row r="135" spans="1:6" x14ac:dyDescent="0.25">
      <c r="A135" s="7">
        <v>10739</v>
      </c>
      <c r="B135" s="7" t="s">
        <v>274</v>
      </c>
      <c r="C135" s="12" t="s">
        <v>222</v>
      </c>
      <c r="D135" s="12" t="str">
        <f ca="1">VLOOKUP(Tabela1[[#This Row],[Área]],'Corrige Area x UF'!$G$1:$I$168,2,FALSE)</f>
        <v>SC</v>
      </c>
      <c r="E135" s="12" t="s">
        <v>327</v>
      </c>
      <c r="F135" s="8"/>
    </row>
    <row r="136" spans="1:6" x14ac:dyDescent="0.25">
      <c r="A136" s="7">
        <v>17687</v>
      </c>
      <c r="B136" s="7" t="s">
        <v>154</v>
      </c>
      <c r="C136" s="12" t="s">
        <v>146</v>
      </c>
      <c r="D136" s="12" t="str">
        <f ca="1">VLOOKUP(Tabela1[[#This Row],[Área]],'Corrige Area x UF'!$G$1:$I$168,2,FALSE)</f>
        <v>SP</v>
      </c>
      <c r="E136" s="12" t="s">
        <v>327</v>
      </c>
      <c r="F136" s="8"/>
    </row>
    <row r="137" spans="1:6" x14ac:dyDescent="0.25">
      <c r="A137" s="7">
        <v>23582</v>
      </c>
      <c r="B137" s="7" t="s">
        <v>275</v>
      </c>
      <c r="C137" s="12" t="s">
        <v>139</v>
      </c>
      <c r="D137" s="12" t="str">
        <f ca="1">VLOOKUP(Tabela1[[#This Row],[Área]],'Corrige Area x UF'!$G$1:$I$168,2,FALSE)</f>
        <v>RJ</v>
      </c>
      <c r="E137" s="12" t="s">
        <v>327</v>
      </c>
      <c r="F137" s="8"/>
    </row>
    <row r="138" spans="1:6" x14ac:dyDescent="0.25">
      <c r="A138" s="7">
        <v>23585</v>
      </c>
      <c r="B138" s="7" t="s">
        <v>276</v>
      </c>
      <c r="C138" s="12" t="s">
        <v>139</v>
      </c>
      <c r="D138" s="12" t="str">
        <f ca="1">VLOOKUP(Tabela1[[#This Row],[Área]],'Corrige Area x UF'!$G$1:$I$168,2,FALSE)</f>
        <v>RJ</v>
      </c>
      <c r="E138" s="12" t="s">
        <v>327</v>
      </c>
      <c r="F138" s="8"/>
    </row>
    <row r="139" spans="1:6" x14ac:dyDescent="0.25">
      <c r="A139" s="7">
        <v>40584</v>
      </c>
      <c r="B139" s="7" t="s">
        <v>277</v>
      </c>
      <c r="C139" s="12" t="s">
        <v>135</v>
      </c>
      <c r="D139" s="12" t="str">
        <f ca="1">VLOOKUP(Tabela1[[#This Row],[Área]],'Corrige Area x UF'!$G$1:$I$168,2,FALSE)</f>
        <v>RJ</v>
      </c>
      <c r="E139" s="12" t="s">
        <v>327</v>
      </c>
      <c r="F139" s="8"/>
    </row>
    <row r="140" spans="1:6" x14ac:dyDescent="0.25">
      <c r="A140" s="7">
        <v>40586</v>
      </c>
      <c r="B140" s="7" t="s">
        <v>278</v>
      </c>
      <c r="C140" s="12" t="s">
        <v>135</v>
      </c>
      <c r="D140" s="12" t="str">
        <f ca="1">VLOOKUP(Tabela1[[#This Row],[Área]],'Corrige Area x UF'!$G$1:$I$168,2,FALSE)</f>
        <v>RJ</v>
      </c>
      <c r="E140" s="12" t="s">
        <v>327</v>
      </c>
      <c r="F140" s="8"/>
    </row>
    <row r="141" spans="1:6" x14ac:dyDescent="0.25">
      <c r="A141" s="7">
        <v>40651</v>
      </c>
      <c r="B141" s="7" t="s">
        <v>279</v>
      </c>
      <c r="C141" s="12" t="s">
        <v>46</v>
      </c>
      <c r="D141" s="12" t="str">
        <f ca="1">VLOOKUP(Tabela1[[#This Row],[Área]],'Corrige Area x UF'!$G$1:$I$168,2,FALSE)</f>
        <v>DF</v>
      </c>
      <c r="E141" s="12" t="s">
        <v>327</v>
      </c>
      <c r="F141" s="8"/>
    </row>
    <row r="142" spans="1:6" x14ac:dyDescent="0.25">
      <c r="A142" s="7">
        <v>41039</v>
      </c>
      <c r="B142" s="7" t="s">
        <v>280</v>
      </c>
      <c r="C142" s="12" t="s">
        <v>46</v>
      </c>
      <c r="D142" s="12" t="str">
        <f ca="1">VLOOKUP(Tabela1[[#This Row],[Área]],'Corrige Area x UF'!$G$1:$I$168,2,FALSE)</f>
        <v>RS</v>
      </c>
      <c r="E142" s="12" t="s">
        <v>327</v>
      </c>
      <c r="F142" s="8"/>
    </row>
    <row r="143" spans="1:6" x14ac:dyDescent="0.25">
      <c r="A143" s="7">
        <v>41057</v>
      </c>
      <c r="B143" s="7" t="s">
        <v>281</v>
      </c>
      <c r="C143" s="12" t="s">
        <v>46</v>
      </c>
      <c r="D143" s="12" t="str">
        <f ca="1">VLOOKUP(Tabela1[[#This Row],[Área]],'Corrige Area x UF'!$G$1:$I$168,2,FALSE)</f>
        <v>RS</v>
      </c>
      <c r="E143" s="12" t="s">
        <v>327</v>
      </c>
      <c r="F143" s="8"/>
    </row>
    <row r="144" spans="1:6" x14ac:dyDescent="0.25">
      <c r="A144" s="7">
        <v>41127</v>
      </c>
      <c r="B144" s="7" t="s">
        <v>282</v>
      </c>
      <c r="C144" s="12" t="s">
        <v>46</v>
      </c>
      <c r="D144" s="12" t="str">
        <f ca="1">VLOOKUP(Tabela1[[#This Row],[Área]],'Corrige Area x UF'!$G$1:$I$168,2,FALSE)</f>
        <v>RS</v>
      </c>
      <c r="E144" s="12" t="s">
        <v>327</v>
      </c>
      <c r="F144" s="8"/>
    </row>
    <row r="145" spans="1:6" x14ac:dyDescent="0.25">
      <c r="A145" s="7">
        <v>41240</v>
      </c>
      <c r="B145" s="7" t="s">
        <v>283</v>
      </c>
      <c r="C145" s="12" t="s">
        <v>46</v>
      </c>
      <c r="D145" s="12" t="str">
        <f ca="1">VLOOKUP(Tabela1[[#This Row],[Área]],'Corrige Area x UF'!$G$1:$I$168,2,FALSE)</f>
        <v>RS</v>
      </c>
      <c r="E145" s="12" t="s">
        <v>327</v>
      </c>
      <c r="F145" s="8"/>
    </row>
    <row r="146" spans="1:6" x14ac:dyDescent="0.25">
      <c r="A146" s="7">
        <v>41257</v>
      </c>
      <c r="B146" s="7" t="s">
        <v>284</v>
      </c>
      <c r="C146" s="12" t="s">
        <v>46</v>
      </c>
      <c r="D146" s="12" t="str">
        <f ca="1">VLOOKUP(Tabela1[[#This Row],[Área]],'Corrige Area x UF'!$G$1:$I$168,2,FALSE)</f>
        <v>RS</v>
      </c>
      <c r="E146" s="12" t="s">
        <v>327</v>
      </c>
      <c r="F146" s="8"/>
    </row>
    <row r="147" spans="1:6" x14ac:dyDescent="0.25">
      <c r="A147" s="7">
        <v>41326</v>
      </c>
      <c r="B147" s="7" t="s">
        <v>285</v>
      </c>
      <c r="C147" s="12" t="s">
        <v>46</v>
      </c>
      <c r="D147" s="12" t="str">
        <f ca="1">VLOOKUP(Tabela1[[#This Row],[Área]],'Corrige Area x UF'!$G$1:$I$168,2,FALSE)</f>
        <v>RS</v>
      </c>
      <c r="E147" s="12" t="s">
        <v>327</v>
      </c>
      <c r="F147" s="8"/>
    </row>
    <row r="148" spans="1:6" x14ac:dyDescent="0.25">
      <c r="A148" s="7">
        <v>41644</v>
      </c>
      <c r="B148" s="7" t="s">
        <v>286</v>
      </c>
      <c r="C148" s="12" t="s">
        <v>46</v>
      </c>
      <c r="D148" s="12" t="str">
        <f ca="1">VLOOKUP(Tabela1[[#This Row],[Área]],'Corrige Area x UF'!$G$1:$I$168,2,FALSE)</f>
        <v>SP</v>
      </c>
      <c r="E148" s="12" t="s">
        <v>327</v>
      </c>
      <c r="F148" s="8"/>
    </row>
    <row r="149" spans="1:6" x14ac:dyDescent="0.25">
      <c r="A149" s="7">
        <v>41782</v>
      </c>
      <c r="B149" s="7" t="s">
        <v>159</v>
      </c>
      <c r="C149" s="12" t="s">
        <v>46</v>
      </c>
      <c r="D149" s="12" t="str">
        <f ca="1">VLOOKUP(Tabela1[[#This Row],[Área]],'Corrige Area x UF'!$G$1:$I$168,2,FALSE)</f>
        <v>SP</v>
      </c>
      <c r="E149" s="12" t="s">
        <v>327</v>
      </c>
      <c r="F149" s="8"/>
    </row>
    <row r="150" spans="1:6" x14ac:dyDescent="0.25">
      <c r="A150" s="7">
        <v>41783</v>
      </c>
      <c r="B150" s="7" t="s">
        <v>160</v>
      </c>
      <c r="C150" s="12" t="s">
        <v>46</v>
      </c>
      <c r="D150" s="12" t="str">
        <f ca="1">VLOOKUP(Tabela1[[#This Row],[Área]],'Corrige Area x UF'!$G$1:$I$168,2,FALSE)</f>
        <v>SP</v>
      </c>
      <c r="E150" s="12" t="s">
        <v>327</v>
      </c>
      <c r="F150" s="8"/>
    </row>
    <row r="151" spans="1:6" x14ac:dyDescent="0.25">
      <c r="A151" s="7">
        <v>41827</v>
      </c>
      <c r="B151" s="7" t="s">
        <v>161</v>
      </c>
      <c r="C151" s="12" t="s">
        <v>46</v>
      </c>
      <c r="D151" s="12" t="str">
        <f ca="1">VLOOKUP(Tabela1[[#This Row],[Área]],'Corrige Area x UF'!$G$1:$I$168,2,FALSE)</f>
        <v>SP</v>
      </c>
      <c r="E151" s="12" t="s">
        <v>327</v>
      </c>
      <c r="F151" s="8"/>
    </row>
    <row r="152" spans="1:6" x14ac:dyDescent="0.25">
      <c r="A152" s="7">
        <v>41897</v>
      </c>
      <c r="B152" s="7" t="s">
        <v>162</v>
      </c>
      <c r="C152" s="12" t="s">
        <v>46</v>
      </c>
      <c r="D152" s="12" t="str">
        <f ca="1">VLOOKUP(Tabela1[[#This Row],[Área]],'Corrige Area x UF'!$G$1:$I$168,2,FALSE)</f>
        <v>SP</v>
      </c>
      <c r="E152" s="12" t="s">
        <v>327</v>
      </c>
      <c r="F152" s="8"/>
    </row>
    <row r="153" spans="1:6" x14ac:dyDescent="0.25">
      <c r="A153" s="7">
        <v>42108</v>
      </c>
      <c r="B153" s="7" t="s">
        <v>287</v>
      </c>
      <c r="C153" s="12" t="s">
        <v>46</v>
      </c>
      <c r="D153" s="12" t="str">
        <f ca="1">VLOOKUP(Tabela1[[#This Row],[Área]],'Corrige Area x UF'!$G$1:$I$168,2,FALSE)</f>
        <v>MG</v>
      </c>
      <c r="E153" s="12" t="s">
        <v>327</v>
      </c>
      <c r="F153" s="8"/>
    </row>
    <row r="154" spans="1:6" x14ac:dyDescent="0.25">
      <c r="A154" s="7">
        <v>42109</v>
      </c>
      <c r="B154" s="7" t="s">
        <v>288</v>
      </c>
      <c r="C154" s="12" t="s">
        <v>46</v>
      </c>
      <c r="D154" s="12" t="str">
        <f ca="1">VLOOKUP(Tabela1[[#This Row],[Área]],'Corrige Area x UF'!$G$1:$I$168,2,FALSE)</f>
        <v>MG</v>
      </c>
      <c r="E154" s="12" t="s">
        <v>327</v>
      </c>
      <c r="F154" s="8"/>
    </row>
    <row r="155" spans="1:6" x14ac:dyDescent="0.25">
      <c r="A155" s="7">
        <v>42142</v>
      </c>
      <c r="B155" s="7" t="s">
        <v>289</v>
      </c>
      <c r="C155" s="12" t="s">
        <v>46</v>
      </c>
      <c r="D155" s="12" t="str">
        <f ca="1">VLOOKUP(Tabela1[[#This Row],[Área]],'Corrige Area x UF'!$G$1:$I$168,2,FALSE)</f>
        <v>MG</v>
      </c>
      <c r="E155" s="12" t="s">
        <v>327</v>
      </c>
      <c r="F155" s="8"/>
    </row>
    <row r="156" spans="1:6" x14ac:dyDescent="0.25">
      <c r="A156" s="7">
        <v>43065</v>
      </c>
      <c r="B156" s="7" t="s">
        <v>290</v>
      </c>
      <c r="C156" s="12" t="s">
        <v>46</v>
      </c>
      <c r="D156" s="12" t="str">
        <f ca="1">VLOOKUP(Tabela1[[#This Row],[Área]],'Corrige Area x UF'!$G$1:$I$168,2,FALSE)</f>
        <v>SC</v>
      </c>
      <c r="E156" s="12" t="s">
        <v>327</v>
      </c>
      <c r="F156" s="8"/>
    </row>
    <row r="157" spans="1:6" x14ac:dyDescent="0.25">
      <c r="A157" s="7">
        <v>43405</v>
      </c>
      <c r="B157" s="7" t="s">
        <v>291</v>
      </c>
      <c r="C157" s="12" t="s">
        <v>46</v>
      </c>
      <c r="D157" s="12" t="str">
        <f ca="1">VLOOKUP(Tabela1[[#This Row],[Área]],'Corrige Area x UF'!$G$1:$I$168,2,FALSE)</f>
        <v>SC</v>
      </c>
      <c r="E157" s="12" t="s">
        <v>327</v>
      </c>
      <c r="F157" s="8"/>
    </row>
    <row r="158" spans="1:6" x14ac:dyDescent="0.25">
      <c r="A158" s="7">
        <v>44075</v>
      </c>
      <c r="B158" s="7" t="s">
        <v>292</v>
      </c>
      <c r="C158" s="12" t="s">
        <v>46</v>
      </c>
      <c r="D158" s="12" t="str">
        <f ca="1">VLOOKUP(Tabela1[[#This Row],[Área]],'Corrige Area x UF'!$G$1:$I$168,2,FALSE)</f>
        <v>MA</v>
      </c>
      <c r="E158" s="12" t="s">
        <v>327</v>
      </c>
      <c r="F158" s="8"/>
    </row>
    <row r="159" spans="1:6" x14ac:dyDescent="0.25">
      <c r="A159" s="7">
        <v>44079</v>
      </c>
      <c r="B159" s="7" t="s">
        <v>293</v>
      </c>
      <c r="C159" s="12" t="s">
        <v>46</v>
      </c>
      <c r="D159" s="12" t="str">
        <f ca="1">VLOOKUP(Tabela1[[#This Row],[Área]],'Corrige Area x UF'!$G$1:$I$168,2,FALSE)</f>
        <v>MA</v>
      </c>
      <c r="E159" s="12" t="s">
        <v>327</v>
      </c>
      <c r="F159" s="8"/>
    </row>
    <row r="160" spans="1:6" x14ac:dyDescent="0.25">
      <c r="A160" s="7">
        <v>44417</v>
      </c>
      <c r="B160" s="7" t="s">
        <v>163</v>
      </c>
      <c r="C160" s="12" t="s">
        <v>46</v>
      </c>
      <c r="D160" s="12" t="str">
        <f ca="1">VLOOKUP(Tabela1[[#This Row],[Área]],'Corrige Area x UF'!$G$1:$I$168,2,FALSE)</f>
        <v>SP</v>
      </c>
      <c r="E160" s="12" t="s">
        <v>327</v>
      </c>
      <c r="F160" s="8"/>
    </row>
    <row r="161" spans="1:6" x14ac:dyDescent="0.25">
      <c r="A161" s="7">
        <v>44534</v>
      </c>
      <c r="B161" s="7" t="s">
        <v>294</v>
      </c>
      <c r="C161" s="12" t="s">
        <v>46</v>
      </c>
      <c r="D161" s="12" t="str">
        <f ca="1">VLOOKUP(Tabela1[[#This Row],[Área]],'Corrige Area x UF'!$G$1:$I$168,2,FALSE)</f>
        <v>PB/RN</v>
      </c>
      <c r="E161" s="12" t="s">
        <v>327</v>
      </c>
      <c r="F161" s="8"/>
    </row>
    <row r="162" spans="1:6" x14ac:dyDescent="0.25">
      <c r="A162" s="7">
        <v>44535</v>
      </c>
      <c r="B162" s="7" t="s">
        <v>295</v>
      </c>
      <c r="C162" s="12" t="s">
        <v>46</v>
      </c>
      <c r="D162" s="12" t="str">
        <f ca="1">VLOOKUP(Tabela1[[#This Row],[Área]],'Corrige Area x UF'!$G$1:$I$168,2,FALSE)</f>
        <v>PB/RN</v>
      </c>
      <c r="E162" s="12" t="s">
        <v>327</v>
      </c>
      <c r="F162" s="8"/>
    </row>
    <row r="163" spans="1:6" x14ac:dyDescent="0.25">
      <c r="A163" s="7">
        <v>44536</v>
      </c>
      <c r="B163" s="7" t="s">
        <v>296</v>
      </c>
      <c r="C163" s="12" t="s">
        <v>326</v>
      </c>
      <c r="D163" s="12" t="str">
        <f ca="1">VLOOKUP(Tabela1[[#This Row],[Área]],'Corrige Area x UF'!$G$1:$I$168,2,FALSE)</f>
        <v>PB/RN</v>
      </c>
      <c r="E163" s="12" t="s">
        <v>327</v>
      </c>
      <c r="F163" s="8"/>
    </row>
    <row r="164" spans="1:6" x14ac:dyDescent="0.25">
      <c r="A164" s="7">
        <v>44588</v>
      </c>
      <c r="B164" s="7" t="s">
        <v>297</v>
      </c>
      <c r="C164" s="12" t="s">
        <v>46</v>
      </c>
      <c r="D164" s="12" t="str">
        <f ca="1">VLOOKUP(Tabela1[[#This Row],[Área]],'Corrige Area x UF'!$G$1:$I$168,2,FALSE)</f>
        <v>CE</v>
      </c>
      <c r="E164" s="12" t="s">
        <v>327</v>
      </c>
      <c r="F164" s="8"/>
    </row>
    <row r="165" spans="1:6" x14ac:dyDescent="0.25">
      <c r="A165" s="7">
        <v>44589</v>
      </c>
      <c r="B165" s="7" t="s">
        <v>298</v>
      </c>
      <c r="C165" s="12" t="s">
        <v>46</v>
      </c>
      <c r="D165" s="12" t="str">
        <f ca="1">VLOOKUP(Tabela1[[#This Row],[Área]],'Corrige Area x UF'!$G$1:$I$168,2,FALSE)</f>
        <v>CE</v>
      </c>
      <c r="E165" s="12" t="s">
        <v>327</v>
      </c>
      <c r="F165" s="8"/>
    </row>
    <row r="166" spans="1:6" x14ac:dyDescent="0.25">
      <c r="A166" s="7">
        <v>44590</v>
      </c>
      <c r="B166" s="7" t="s">
        <v>299</v>
      </c>
      <c r="C166" s="12" t="s">
        <v>46</v>
      </c>
      <c r="D166" s="12" t="str">
        <f ca="1">VLOOKUP(Tabela1[[#This Row],[Área]],'Corrige Area x UF'!$G$1:$I$168,2,FALSE)</f>
        <v>CE</v>
      </c>
      <c r="E166" s="12" t="s">
        <v>327</v>
      </c>
      <c r="F166" s="8"/>
    </row>
    <row r="167" spans="1:6" x14ac:dyDescent="0.25">
      <c r="A167" s="7">
        <v>44591</v>
      </c>
      <c r="B167" s="7" t="s">
        <v>300</v>
      </c>
      <c r="C167" s="12" t="s">
        <v>46</v>
      </c>
      <c r="D167" s="12" t="str">
        <f ca="1">VLOOKUP(Tabela1[[#This Row],[Área]],'Corrige Area x UF'!$G$1:$I$168,2,FALSE)</f>
        <v>CE</v>
      </c>
      <c r="E167" s="12" t="s">
        <v>327</v>
      </c>
      <c r="F167" s="8"/>
    </row>
    <row r="168" spans="1:6" x14ac:dyDescent="0.25">
      <c r="A168" s="7">
        <v>45046</v>
      </c>
      <c r="B168" s="7" t="s">
        <v>301</v>
      </c>
      <c r="C168" s="12" t="s">
        <v>46</v>
      </c>
      <c r="D168" s="12" t="str">
        <f ca="1">VLOOKUP(Tabela1[[#This Row],[Área]],'Corrige Area x UF'!$G$1:$I$168,2,FALSE)</f>
        <v>PI</v>
      </c>
      <c r="E168" s="12" t="s">
        <v>327</v>
      </c>
      <c r="F168" s="8"/>
    </row>
    <row r="169" spans="1:6" x14ac:dyDescent="0.25">
      <c r="A169" s="7">
        <v>45047</v>
      </c>
      <c r="B169" s="7" t="s">
        <v>302</v>
      </c>
      <c r="C169" s="12" t="s">
        <v>46</v>
      </c>
      <c r="D169" s="12" t="str">
        <f ca="1">VLOOKUP(Tabela1[[#This Row],[Área]],'Corrige Area x UF'!$G$1:$I$168,2,FALSE)</f>
        <v>PI</v>
      </c>
      <c r="E169" s="12" t="s">
        <v>327</v>
      </c>
      <c r="F169" s="8"/>
    </row>
    <row r="170" spans="1:6" x14ac:dyDescent="0.25">
      <c r="A170" s="7">
        <v>46553</v>
      </c>
      <c r="B170" s="7" t="s">
        <v>303</v>
      </c>
      <c r="C170" s="12" t="s">
        <v>46</v>
      </c>
      <c r="D170" s="12" t="str">
        <f ca="1">VLOOKUP(Tabela1[[#This Row],[Área]],'Corrige Area x UF'!$G$1:$I$168,2,FALSE)</f>
        <v>MA</v>
      </c>
      <c r="E170" s="12" t="s">
        <v>327</v>
      </c>
      <c r="F170" s="8"/>
    </row>
    <row r="171" spans="1:6" x14ac:dyDescent="0.25">
      <c r="A171" s="7">
        <v>46567</v>
      </c>
      <c r="B171" s="7" t="s">
        <v>304</v>
      </c>
      <c r="C171" s="12" t="s">
        <v>46</v>
      </c>
      <c r="D171" s="12" t="str">
        <f ca="1">VLOOKUP(Tabela1[[#This Row],[Área]],'Corrige Area x UF'!$G$1:$I$168,2,FALSE)</f>
        <v>PB/RN</v>
      </c>
      <c r="E171" s="12" t="s">
        <v>327</v>
      </c>
      <c r="F171" s="8"/>
    </row>
    <row r="172" spans="1:6" x14ac:dyDescent="0.25">
      <c r="A172" s="7">
        <v>46568</v>
      </c>
      <c r="B172" s="7" t="s">
        <v>305</v>
      </c>
      <c r="C172" s="12" t="s">
        <v>46</v>
      </c>
      <c r="D172" s="12" t="str">
        <f ca="1">VLOOKUP(Tabela1[[#This Row],[Área]],'Corrige Area x UF'!$G$1:$I$168,2,FALSE)</f>
        <v>PB/RN</v>
      </c>
      <c r="E172" s="12" t="s">
        <v>327</v>
      </c>
      <c r="F172" s="8"/>
    </row>
    <row r="173" spans="1:6" x14ac:dyDescent="0.25">
      <c r="A173" s="7">
        <v>46570</v>
      </c>
      <c r="B173" s="7" t="s">
        <v>306</v>
      </c>
      <c r="C173" s="12" t="s">
        <v>46</v>
      </c>
      <c r="D173" s="12" t="str">
        <f ca="1">VLOOKUP(Tabela1[[#This Row],[Área]],'Corrige Area x UF'!$G$1:$I$168,2,FALSE)</f>
        <v>PB/RN</v>
      </c>
      <c r="E173" s="12" t="s">
        <v>327</v>
      </c>
      <c r="F173" s="8"/>
    </row>
    <row r="174" spans="1:6" x14ac:dyDescent="0.25">
      <c r="A174" s="7">
        <v>46572</v>
      </c>
      <c r="B174" s="7" t="s">
        <v>307</v>
      </c>
      <c r="C174" s="12" t="s">
        <v>46</v>
      </c>
      <c r="D174" s="12" t="str">
        <f ca="1">VLOOKUP(Tabela1[[#This Row],[Área]],'Corrige Area x UF'!$G$1:$I$168,2,FALSE)</f>
        <v>PB/RN</v>
      </c>
      <c r="E174" s="12" t="s">
        <v>327</v>
      </c>
      <c r="F174" s="8"/>
    </row>
    <row r="175" spans="1:6" x14ac:dyDescent="0.25">
      <c r="A175" s="7">
        <v>47981</v>
      </c>
      <c r="B175" s="7" t="s">
        <v>308</v>
      </c>
      <c r="C175" s="12" t="s">
        <v>46</v>
      </c>
      <c r="D175" s="12" t="str">
        <f ca="1">VLOOKUP(Tabela1[[#This Row],[Área]],'Corrige Area x UF'!$G$1:$I$168,2,FALSE)</f>
        <v>PB/RN</v>
      </c>
      <c r="E175" s="12" t="s">
        <v>327</v>
      </c>
      <c r="F175" s="8"/>
    </row>
    <row r="176" spans="1:6" x14ac:dyDescent="0.25">
      <c r="A176" s="7">
        <v>48208</v>
      </c>
      <c r="B176" s="7" t="s">
        <v>309</v>
      </c>
      <c r="C176" s="12" t="s">
        <v>46</v>
      </c>
      <c r="D176" s="12" t="str">
        <f ca="1">VLOOKUP(Tabela1[[#This Row],[Área]],'Corrige Area x UF'!$G$1:$I$168,2,FALSE)</f>
        <v>AM</v>
      </c>
      <c r="E176" s="12" t="s">
        <v>327</v>
      </c>
      <c r="F176" s="8"/>
    </row>
    <row r="177" spans="1:6" x14ac:dyDescent="0.25">
      <c r="A177" s="7">
        <v>48209</v>
      </c>
      <c r="B177" s="7" t="s">
        <v>310</v>
      </c>
      <c r="C177" s="12" t="s">
        <v>46</v>
      </c>
      <c r="D177" s="12" t="str">
        <f ca="1">VLOOKUP(Tabela1[[#This Row],[Área]],'Corrige Area x UF'!$G$1:$I$168,2,FALSE)</f>
        <v>AM</v>
      </c>
      <c r="E177" s="12" t="s">
        <v>327</v>
      </c>
      <c r="F177" s="8"/>
    </row>
    <row r="178" spans="1:6" x14ac:dyDescent="0.25">
      <c r="A178" s="7">
        <v>48210</v>
      </c>
      <c r="B178" s="7" t="s">
        <v>311</v>
      </c>
      <c r="C178" s="12" t="s">
        <v>46</v>
      </c>
      <c r="D178" s="12" t="str">
        <f ca="1">VLOOKUP(Tabela1[[#This Row],[Área]],'Corrige Area x UF'!$G$1:$I$168,2,FALSE)</f>
        <v>AM</v>
      </c>
      <c r="E178" s="12" t="s">
        <v>327</v>
      </c>
      <c r="F178" s="8"/>
    </row>
    <row r="179" spans="1:6" x14ac:dyDescent="0.25">
      <c r="A179" s="7">
        <v>48211</v>
      </c>
      <c r="B179" s="7" t="s">
        <v>312</v>
      </c>
      <c r="C179" s="12" t="s">
        <v>46</v>
      </c>
      <c r="D179" s="12" t="str">
        <f ca="1">VLOOKUP(Tabela1[[#This Row],[Área]],'Corrige Area x UF'!$G$1:$I$168,2,FALSE)</f>
        <v>AM</v>
      </c>
      <c r="E179" s="12" t="s">
        <v>327</v>
      </c>
      <c r="F179" s="8"/>
    </row>
    <row r="180" spans="1:6" x14ac:dyDescent="0.25">
      <c r="A180" s="7">
        <v>48266</v>
      </c>
      <c r="B180" s="7" t="s">
        <v>313</v>
      </c>
      <c r="C180" s="12" t="s">
        <v>46</v>
      </c>
      <c r="D180" s="12" t="str">
        <f ca="1">VLOOKUP(Tabela1[[#This Row],[Área]],'Corrige Area x UF'!$G$1:$I$168,2,FALSE)</f>
        <v>CE</v>
      </c>
      <c r="E180" s="12" t="s">
        <v>327</v>
      </c>
      <c r="F180" s="8"/>
    </row>
    <row r="181" spans="1:6" x14ac:dyDescent="0.25">
      <c r="A181" s="7">
        <v>48355</v>
      </c>
      <c r="B181" s="7" t="s">
        <v>91</v>
      </c>
      <c r="C181" s="12" t="s">
        <v>46</v>
      </c>
      <c r="D181" s="12" t="str">
        <f ca="1">VLOOKUP(Tabela1[[#This Row],[Área]],'Corrige Area x UF'!$G$1:$I$168,2,FALSE)</f>
        <v>GO</v>
      </c>
      <c r="E181" s="12" t="s">
        <v>327</v>
      </c>
      <c r="F181" s="8"/>
    </row>
    <row r="182" spans="1:6" x14ac:dyDescent="0.25">
      <c r="A182" s="7">
        <v>48572</v>
      </c>
      <c r="B182" s="7" t="s">
        <v>314</v>
      </c>
      <c r="C182" s="12" t="s">
        <v>46</v>
      </c>
      <c r="D182" s="12" t="str">
        <f ca="1">VLOOKUP(Tabela1[[#This Row],[Área]],'Corrige Area x UF'!$G$1:$I$168,2,FALSE)</f>
        <v>MA</v>
      </c>
      <c r="E182" s="12" t="s">
        <v>327</v>
      </c>
      <c r="F182" s="8"/>
    </row>
    <row r="183" spans="1:6" x14ac:dyDescent="0.25">
      <c r="A183" s="7">
        <v>48573</v>
      </c>
      <c r="B183" s="7" t="s">
        <v>315</v>
      </c>
      <c r="C183" s="12" t="s">
        <v>46</v>
      </c>
      <c r="D183" s="12" t="str">
        <f ca="1">VLOOKUP(Tabela1[[#This Row],[Área]],'Corrige Area x UF'!$G$1:$I$168,2,FALSE)</f>
        <v>MA</v>
      </c>
      <c r="E183" s="12" t="s">
        <v>327</v>
      </c>
      <c r="F183" s="8"/>
    </row>
    <row r="184" spans="1:6" x14ac:dyDescent="0.25">
      <c r="A184" s="7">
        <v>48574</v>
      </c>
      <c r="B184" s="7" t="s">
        <v>316</v>
      </c>
      <c r="C184" s="12" t="s">
        <v>46</v>
      </c>
      <c r="D184" s="12" t="str">
        <f ca="1">VLOOKUP(Tabela1[[#This Row],[Área]],'Corrige Area x UF'!$G$1:$I$168,2,FALSE)</f>
        <v>MA</v>
      </c>
      <c r="E184" s="12" t="s">
        <v>327</v>
      </c>
      <c r="F184" s="8"/>
    </row>
    <row r="185" spans="1:6" x14ac:dyDescent="0.25">
      <c r="A185" s="7">
        <v>48575</v>
      </c>
      <c r="B185" s="7" t="s">
        <v>317</v>
      </c>
      <c r="C185" s="12" t="s">
        <v>46</v>
      </c>
      <c r="D185" s="12" t="str">
        <f ca="1">VLOOKUP(Tabela1[[#This Row],[Área]],'Corrige Area x UF'!$G$1:$I$168,2,FALSE)</f>
        <v>MA</v>
      </c>
      <c r="E185" s="12" t="s">
        <v>327</v>
      </c>
      <c r="F185" s="8"/>
    </row>
    <row r="186" spans="1:6" x14ac:dyDescent="0.25">
      <c r="A186" s="7">
        <v>48576</v>
      </c>
      <c r="B186" s="7" t="s">
        <v>318</v>
      </c>
      <c r="C186" s="12" t="s">
        <v>46</v>
      </c>
      <c r="D186" s="12" t="str">
        <f ca="1">VLOOKUP(Tabela1[[#This Row],[Área]],'Corrige Area x UF'!$G$1:$I$168,2,FALSE)</f>
        <v>MA</v>
      </c>
      <c r="E186" s="12" t="s">
        <v>327</v>
      </c>
      <c r="F186" s="8"/>
    </row>
    <row r="187" spans="1:6" x14ac:dyDescent="0.25">
      <c r="A187" s="7">
        <v>48577</v>
      </c>
      <c r="B187" s="7" t="s">
        <v>319</v>
      </c>
      <c r="C187" s="12" t="s">
        <v>46</v>
      </c>
      <c r="D187" s="12" t="str">
        <f ca="1">VLOOKUP(Tabela1[[#This Row],[Área]],'Corrige Area x UF'!$G$1:$I$168,2,FALSE)</f>
        <v>MA</v>
      </c>
      <c r="E187" s="12" t="s">
        <v>327</v>
      </c>
      <c r="F187" s="8"/>
    </row>
    <row r="188" spans="1:6" x14ac:dyDescent="0.25">
      <c r="A188" s="7">
        <v>48578</v>
      </c>
      <c r="B188" s="7" t="s">
        <v>320</v>
      </c>
      <c r="C188" s="12" t="s">
        <v>46</v>
      </c>
      <c r="D188" s="12" t="str">
        <f ca="1">VLOOKUP(Tabela1[[#This Row],[Área]],'Corrige Area x UF'!$G$1:$I$168,2,FALSE)</f>
        <v>MA</v>
      </c>
      <c r="E188" s="12" t="s">
        <v>327</v>
      </c>
      <c r="F188" s="7"/>
    </row>
    <row r="189" spans="1:6" x14ac:dyDescent="0.25">
      <c r="A189" s="2">
        <v>3431</v>
      </c>
      <c r="B189" s="2" t="s">
        <v>328</v>
      </c>
      <c r="C189" s="11" t="s">
        <v>48</v>
      </c>
      <c r="D189" s="13" t="str">
        <f>LEFT(RIGHT(B189,5),2)</f>
        <v>SP</v>
      </c>
      <c r="E189" s="14" t="str">
        <f>IFERROR(VLOOKUP(Tabela1[[#This Row],[Nº Barra]],Parecer!$A$3:$F$70,5,FALSE), "Barramento ausente nos casos, porém ativo no SISBAR (sem carga e/ou geração)")</f>
        <v>Barramento ausente nos casos, porém ativo no SISBAR (sem carga e/ou geração)</v>
      </c>
      <c r="F189" s="5" t="str">
        <f>IFERROR(VLOOKUP(Tabela1[[#This Row],[Nº Barra]],Parecer!$A$3:$F$70,6,FALSE), " ")</f>
        <v xml:space="preserve"> </v>
      </c>
    </row>
    <row r="190" spans="1:6" x14ac:dyDescent="0.25">
      <c r="A190" s="2">
        <v>46391</v>
      </c>
      <c r="B190" s="2" t="s">
        <v>329</v>
      </c>
      <c r="C190" s="11" t="s">
        <v>49</v>
      </c>
      <c r="D190" s="13" t="str">
        <f>LEFT(RIGHT(B190,5),2)</f>
        <v>MG</v>
      </c>
      <c r="E190" s="14" t="str">
        <f>IFERROR(VLOOKUP(Tabela1[[#This Row],[Nº Barra]],Parecer!$A$3:$F$70,5,FALSE), "Barramento ausente nos casos, porém ativo no SISBAR (sem carga e/ou geração)")</f>
        <v>Barramento ausente nos casos, porém ativo no SISBAR (sem carga e/ou geração)</v>
      </c>
      <c r="F190" s="5" t="str">
        <f>IFERROR(VLOOKUP(Tabela1[[#This Row],[Nº Barra]],Parecer!$A$3:$F$70,6,FALSE), " ")</f>
        <v xml:space="preserve"> </v>
      </c>
    </row>
    <row r="191" spans="1:6" x14ac:dyDescent="0.25">
      <c r="A191" s="2">
        <v>46400</v>
      </c>
      <c r="B191" s="2" t="s">
        <v>109</v>
      </c>
      <c r="C191" s="11" t="s">
        <v>49</v>
      </c>
      <c r="D191" s="13" t="s">
        <v>99</v>
      </c>
      <c r="E191" s="14" t="str">
        <f>IFERROR(VLOOKUP(Tabela1[[#This Row],[Nº Barra]],Parecer!$A$3:$F$70,5,FALSE), "Barramento ausente nos casos, porém ativo no SISBAR (sem carga e/ou geração)")</f>
        <v>Barramento ausente nos casos, porém ativo no SISBAR (com carga e/ou geração)</v>
      </c>
      <c r="F191" s="5" t="str">
        <f>IFERROR(VLOOKUP(Tabela1[[#This Row],[Nº Barra]],Parecer!$A$3:$F$70,6,FALSE), " ")</f>
        <v xml:space="preserve">Obra DIST_CEMIG-D-MG_SE PATROCÍNIO 3 prevista para 01/09/2026. Barra não deve ser incluída nos casos do mensal de fevereiro/2026. </v>
      </c>
    </row>
    <row r="192" spans="1:6" x14ac:dyDescent="0.25">
      <c r="A192" s="2">
        <v>47905</v>
      </c>
      <c r="B192" s="2" t="s">
        <v>330</v>
      </c>
      <c r="C192" s="11" t="s">
        <v>128</v>
      </c>
      <c r="D192" s="13" t="str">
        <f>LEFT(RIGHT(B192,5),2)</f>
        <v>MT</v>
      </c>
      <c r="E192" s="14" t="str">
        <f>IFERROR(VLOOKUP(Tabela1[[#This Row],[Nº Barra]],Parecer!$A$3:$F$70,5,FALSE), "Barramento ausente nos casos, porém ativo no SISBAR (sem carga e/ou geração)")</f>
        <v>Barramento ausente nos casos, porém ativo no SISBAR (sem carga e/ou geração)</v>
      </c>
      <c r="F192" s="5" t="str">
        <f>IFERROR(VLOOKUP(Tabela1[[#This Row],[Nº Barra]],Parecer!$A$3:$F$70,6,FALSE), " ")</f>
        <v xml:space="preserve"> </v>
      </c>
    </row>
    <row r="193" spans="1:43" x14ac:dyDescent="0.25">
      <c r="A193" s="2">
        <v>47915</v>
      </c>
      <c r="B193" s="2" t="s">
        <v>331</v>
      </c>
      <c r="C193" s="11" t="s">
        <v>128</v>
      </c>
      <c r="D193" s="13" t="str">
        <f t="shared" ref="D193:D256" si="0">LEFT(RIGHT(B193,5),2)</f>
        <v>MT</v>
      </c>
      <c r="E193" s="14" t="str">
        <f>IFERROR(VLOOKUP(Tabela1[[#This Row],[Nº Barra]],Parecer!$A$3:$F$70,5,FALSE), "Barramento ausente nos casos, porém ativo no SISBAR (sem carga e/ou geração)")</f>
        <v>Barramento ausente nos casos, porém ativo no SISBAR (sem carga e/ou geração)</v>
      </c>
      <c r="F193" s="5" t="str">
        <f>IFERROR(VLOOKUP(Tabela1[[#This Row],[Nº Barra]],Parecer!$A$3:$F$70,6,FALSE), " ")</f>
        <v xml:space="preserve"> </v>
      </c>
    </row>
    <row r="194" spans="1:43" x14ac:dyDescent="0.25">
      <c r="A194" s="2">
        <v>48373</v>
      </c>
      <c r="B194" s="2" t="s">
        <v>332</v>
      </c>
      <c r="C194" s="11" t="s">
        <v>139</v>
      </c>
      <c r="D194" s="13" t="str">
        <f t="shared" si="0"/>
        <v>RJ</v>
      </c>
      <c r="E194" s="14" t="str">
        <f>IFERROR(VLOOKUP(Tabela1[[#This Row],[Nº Barra]],Parecer!$A$3:$F$70,5,FALSE), "Barramento ausente nos casos, porém ativo no SISBAR (sem carga e/ou geração)")</f>
        <v>Barramento ausente nos casos, porém ativo no SISBAR (sem carga e/ou geração)</v>
      </c>
      <c r="F194" s="5" t="str">
        <f>IFERROR(VLOOKUP(Tabela1[[#This Row],[Nº Barra]],Parecer!$A$3:$F$70,6,FALSE), " ")</f>
        <v xml:space="preserve"> </v>
      </c>
    </row>
    <row r="195" spans="1:43" x14ac:dyDescent="0.25">
      <c r="A195" s="2">
        <v>48378</v>
      </c>
      <c r="B195" s="2" t="s">
        <v>333</v>
      </c>
      <c r="C195" s="11" t="s">
        <v>139</v>
      </c>
      <c r="D195" s="13" t="str">
        <f t="shared" si="0"/>
        <v>RJ</v>
      </c>
      <c r="E195" s="14" t="str">
        <f>IFERROR(VLOOKUP(Tabela1[[#This Row],[Nº Barra]],Parecer!$A$3:$F$70,5,FALSE), "Barramento ausente nos casos, porém ativo no SISBAR (sem carga e/ou geração)")</f>
        <v>Barramento ausente nos casos, porém ativo no SISBAR (sem carga e/ou geração)</v>
      </c>
      <c r="F195" s="5" t="str">
        <f>IFERROR(VLOOKUP(Tabela1[[#This Row],[Nº Barra]],Parecer!$A$3:$F$70,6,FALSE), " ")</f>
        <v xml:space="preserve"> </v>
      </c>
    </row>
    <row r="196" spans="1:43" x14ac:dyDescent="0.25">
      <c r="A196" s="2">
        <v>48423</v>
      </c>
      <c r="B196" s="2" t="s">
        <v>334</v>
      </c>
      <c r="C196" s="11" t="s">
        <v>49</v>
      </c>
      <c r="D196" s="13" t="str">
        <f t="shared" si="0"/>
        <v>MG</v>
      </c>
      <c r="E196" s="14" t="str">
        <f>IFERROR(VLOOKUP(Tabela1[[#This Row],[Nº Barra]],Parecer!$A$3:$F$70,5,FALSE), "Barramento ausente nos casos, porém ativo no SISBAR (sem carga e/ou geração)")</f>
        <v>Barramento ausente nos casos, porém ativo no SISBAR (sem carga e/ou geração)</v>
      </c>
      <c r="F196" s="5" t="str">
        <f>IFERROR(VLOOKUP(Tabela1[[#This Row],[Nº Barra]],Parecer!$A$3:$F$70,6,FALSE), " ")</f>
        <v xml:space="preserve"> </v>
      </c>
    </row>
    <row r="197" spans="1:43" x14ac:dyDescent="0.25">
      <c r="A197" s="2">
        <v>48432</v>
      </c>
      <c r="B197" s="2" t="s">
        <v>335</v>
      </c>
      <c r="C197" s="11" t="s">
        <v>49</v>
      </c>
      <c r="D197" s="13" t="str">
        <f t="shared" si="0"/>
        <v>MG</v>
      </c>
      <c r="E197" s="14" t="str">
        <f>IFERROR(VLOOKUP(Tabela1[[#This Row],[Nº Barra]],Parecer!$A$3:$F$70,5,FALSE), "Barramento ausente nos casos, porém ativo no SISBAR (sem carga e/ou geração)")</f>
        <v>Barramento ausente nos casos, porém ativo no SISBAR (sem carga e/ou geração)</v>
      </c>
      <c r="F197" s="5" t="str">
        <f>IFERROR(VLOOKUP(Tabela1[[#This Row],[Nº Barra]],Parecer!$A$3:$F$70,6,FALSE), " ")</f>
        <v xml:space="preserve"> </v>
      </c>
    </row>
    <row r="198" spans="1:43" x14ac:dyDescent="0.25">
      <c r="A198" s="2">
        <v>48434</v>
      </c>
      <c r="B198" s="2" t="s">
        <v>112</v>
      </c>
      <c r="C198" s="11" t="s">
        <v>49</v>
      </c>
      <c r="D198" s="13" t="str">
        <f t="shared" si="0"/>
        <v>MG</v>
      </c>
      <c r="E198" s="14" t="str">
        <f>IFERROR(VLOOKUP(Tabela1[[#This Row],[Nº Barra]],Parecer!$A$3:$F$70,5,FALSE), "Barramento ausente nos casos, porém ativo no SISBAR (sem carga e/ou geração)")</f>
        <v>Barramento ausente nos casos, porém ativo no SISBAR (com carga e/ou geração)</v>
      </c>
      <c r="F198" s="5" t="str">
        <f>IFERROR(VLOOKUP(Tabela1[[#This Row],[Nº Barra]],Parecer!$A$3:$F$70,6,FALSE), " ")</f>
        <v xml:space="preserve">Obra DIST_CEMIG-D_INSERE SE BURITIS 3 prevista para 01/03/2026. Barra não deve ser incluída nos casos do mensal de fevereiro/2026. </v>
      </c>
    </row>
    <row r="199" spans="1:43" x14ac:dyDescent="0.25">
      <c r="A199" s="2">
        <v>48435</v>
      </c>
      <c r="B199" s="2" t="s">
        <v>336</v>
      </c>
      <c r="C199" s="11" t="s">
        <v>49</v>
      </c>
      <c r="D199" s="13" t="str">
        <f t="shared" si="0"/>
        <v>MG</v>
      </c>
      <c r="E199" s="14" t="str">
        <f>IFERROR(VLOOKUP(Tabela1[[#This Row],[Nº Barra]],Parecer!$A$3:$F$70,5,FALSE), "Barramento ausente nos casos, porém ativo no SISBAR (sem carga e/ou geração)")</f>
        <v>Barramento ausente nos casos, porém ativo no SISBAR (sem carga e/ou geração)</v>
      </c>
      <c r="F199" s="5" t="str">
        <f>IFERROR(VLOOKUP(Tabela1[[#This Row],[Nº Barra]],Parecer!$A$3:$F$70,6,FALSE), " ")</f>
        <v xml:space="preserve"> </v>
      </c>
    </row>
    <row r="200" spans="1:43" x14ac:dyDescent="0.25">
      <c r="A200" s="2">
        <v>48438</v>
      </c>
      <c r="B200" s="2" t="s">
        <v>337</v>
      </c>
      <c r="C200" s="11" t="s">
        <v>49</v>
      </c>
      <c r="D200" s="13" t="str">
        <f t="shared" si="0"/>
        <v>MG</v>
      </c>
      <c r="E200" s="14" t="str">
        <f>IFERROR(VLOOKUP(Tabela1[[#This Row],[Nº Barra]],Parecer!$A$3:$F$70,5,FALSE), "Barramento ausente nos casos, porém ativo no SISBAR (sem carga e/ou geração)")</f>
        <v>Barramento ausente nos casos, porém ativo no SISBAR (sem carga e/ou geração)</v>
      </c>
      <c r="F200" s="5" t="str">
        <f>IFERROR(VLOOKUP(Tabela1[[#This Row],[Nº Barra]],Parecer!$A$3:$F$70,6,FALSE), " ")</f>
        <v xml:space="preserve"> </v>
      </c>
    </row>
    <row r="201" spans="1:43" x14ac:dyDescent="0.25">
      <c r="A201" s="2">
        <v>48441</v>
      </c>
      <c r="B201" s="2" t="s">
        <v>114</v>
      </c>
      <c r="C201" s="11" t="s">
        <v>49</v>
      </c>
      <c r="D201" s="13" t="str">
        <f t="shared" si="0"/>
        <v>MG</v>
      </c>
      <c r="E201" s="14" t="str">
        <f>IFERROR(VLOOKUP(Tabela1[[#This Row],[Nº Barra]],Parecer!$A$3:$F$70,5,FALSE), "Barramento ausente nos casos, porém ativo no SISBAR (sem carga e/ou geração)")</f>
        <v>Barramento ausente nos casos, porém ativo no SISBAR (com carga e/ou geração)</v>
      </c>
      <c r="F201" s="5" t="str">
        <f>IFERROR(VLOOKUP(Tabela1[[#This Row],[Nº Barra]],Parecer!$A$3:$F$70,6,FALSE), " ")</f>
        <v xml:space="preserve">Obra DIST_CEMIG-D_INSERE SE IGARATINGA 1 prevista para 04/03/2026. Barra não deve ser incluída nos casos do mensal de fevereiro/2026. </v>
      </c>
    </row>
    <row r="202" spans="1:43" x14ac:dyDescent="0.25">
      <c r="A202" s="2">
        <v>48446</v>
      </c>
      <c r="B202" s="2" t="s">
        <v>338</v>
      </c>
      <c r="C202" s="11" t="s">
        <v>49</v>
      </c>
      <c r="D202" s="13" t="str">
        <f t="shared" si="0"/>
        <v>MG</v>
      </c>
      <c r="E202" s="14" t="str">
        <f>IFERROR(VLOOKUP(Tabela1[[#This Row],[Nº Barra]],Parecer!$A$3:$F$70,5,FALSE), "Barramento ausente nos casos, porém ativo no SISBAR (sem carga e/ou geração)")</f>
        <v>Barramento ausente nos casos, porém ativo no SISBAR (sem carga e/ou geração)</v>
      </c>
      <c r="F202" s="5" t="str">
        <f>IFERROR(VLOOKUP(Tabela1[[#This Row],[Nº Barra]],Parecer!$A$3:$F$70,6,FALSE), " ")</f>
        <v xml:space="preserve"> </v>
      </c>
    </row>
    <row r="203" spans="1:43" x14ac:dyDescent="0.25">
      <c r="A203" s="2">
        <v>48449</v>
      </c>
      <c r="B203" s="2" t="s">
        <v>339</v>
      </c>
      <c r="C203" s="11" t="s">
        <v>49</v>
      </c>
      <c r="D203" s="13" t="str">
        <f t="shared" si="0"/>
        <v>MG</v>
      </c>
      <c r="E203" s="14" t="str">
        <f>IFERROR(VLOOKUP(Tabela1[[#This Row],[Nº Barra]],Parecer!$A$3:$F$70,5,FALSE), "Barramento ausente nos casos, porém ativo no SISBAR (sem carga e/ou geração)")</f>
        <v>Barramento ausente nos casos, porém ativo no SISBAR (sem carga e/ou geração)</v>
      </c>
      <c r="F203" s="5" t="str">
        <f>IFERROR(VLOOKUP(Tabela1[[#This Row],[Nº Barra]],Parecer!$A$3:$F$70,6,FALSE), " ")</f>
        <v xml:space="preserve"> </v>
      </c>
    </row>
    <row r="204" spans="1:43" x14ac:dyDescent="0.25">
      <c r="A204" s="2">
        <v>48452</v>
      </c>
      <c r="B204" s="2" t="s">
        <v>340</v>
      </c>
      <c r="C204" s="11" t="s">
        <v>49</v>
      </c>
      <c r="D204" s="13" t="str">
        <f t="shared" si="0"/>
        <v>MG</v>
      </c>
      <c r="E204" s="14" t="str">
        <f>IFERROR(VLOOKUP(Tabela1[[#This Row],[Nº Barra]],Parecer!$A$3:$F$70,5,FALSE), "Barramento ausente nos casos, porém ativo no SISBAR (sem carga e/ou geração)")</f>
        <v>Barramento ausente nos casos, porém ativo no SISBAR (sem carga e/ou geração)</v>
      </c>
      <c r="F204" s="5" t="str">
        <f>IFERROR(VLOOKUP(Tabela1[[#This Row],[Nº Barra]],Parecer!$A$3:$F$70,6,FALSE), " ")</f>
        <v xml:space="preserve"> </v>
      </c>
    </row>
    <row r="205" spans="1:43" s="10" customFormat="1" x14ac:dyDescent="0.25">
      <c r="A205" s="2">
        <v>1929</v>
      </c>
      <c r="B205" s="2" t="s">
        <v>341</v>
      </c>
      <c r="C205" s="11" t="s">
        <v>342</v>
      </c>
      <c r="D205" s="13" t="str">
        <f t="shared" si="0"/>
        <v>SP</v>
      </c>
      <c r="E205" s="11" t="str">
        <f>IFERROR(VLOOKUP(Tabela1[[#This Row],[Nº Barra]],Parecer!$A$3:$F$70,5,FALSE), "Barramento ausente nos casos, porém ativo no SISBAR (sem carga e geração)")</f>
        <v>Barramento ausente nos casos, porém ativo no SISBAR (sem carga e geração)</v>
      </c>
      <c r="F205" s="2" t="str">
        <f>IFERROR(VLOOKUP(Tabela1[[#This Row],[Nº Barra]],Parecer!$A$3:$F$70,6,FALSE), "  ")</f>
        <v xml:space="preserve">  </v>
      </c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</row>
    <row r="206" spans="1:43" x14ac:dyDescent="0.25">
      <c r="A206" s="2">
        <v>3412</v>
      </c>
      <c r="B206" s="2" t="s">
        <v>343</v>
      </c>
      <c r="C206" s="11" t="s">
        <v>344</v>
      </c>
      <c r="D206" s="13" t="str">
        <f t="shared" si="0"/>
        <v>SP</v>
      </c>
      <c r="E206" s="11" t="str">
        <f>IFERROR(VLOOKUP(Tabela1[[#This Row],[Nº Barra]],Parecer!$A$3:$F$70,5,FALSE), "Barramento ausente nos casos, porém ativo no SISBAR (sem carga e geração)")</f>
        <v>Barramento ausente nos casos, porém ativo no SISBAR (sem carga e geração)</v>
      </c>
      <c r="F206" s="2" t="str">
        <f>IFERROR(VLOOKUP(Tabela1[[#This Row],[Nº Barra]],Parecer!$A$3:$F$70,6,FALSE), "  ")</f>
        <v xml:space="preserve">  </v>
      </c>
    </row>
    <row r="207" spans="1:43" x14ac:dyDescent="0.25">
      <c r="A207" s="2">
        <v>4112</v>
      </c>
      <c r="B207" s="2" t="s">
        <v>134</v>
      </c>
      <c r="C207" s="11" t="s">
        <v>135</v>
      </c>
      <c r="D207" s="13" t="str">
        <f t="shared" si="0"/>
        <v>RJ</v>
      </c>
      <c r="E207" s="15" t="str">
        <f>IFERROR(VLOOKUP(Tabela1[[#This Row],[Nº Barra]],Parecer!$A$3:$F$70,5,FALSE), "Barramento ausente nos casos, porém ativo no SISBAR (sem carga e geração)")</f>
        <v>Barramento ausente nos casos, porém ativo no SISBAR (sem carga e geração)</v>
      </c>
      <c r="F207" s="5" t="str">
        <f>IFERROR(VLOOKUP(Tabela1[[#This Row],[Nº Barra]],Parecer!$A$3:$F$70,6,FALSE), "  ")</f>
        <v xml:space="preserve">Barra que será inclusa no futuro (fora do horizonte do mensal) </v>
      </c>
    </row>
    <row r="208" spans="1:43" x14ac:dyDescent="0.25">
      <c r="A208" s="2">
        <v>4146</v>
      </c>
      <c r="B208" s="2" t="s">
        <v>158</v>
      </c>
      <c r="C208" s="11" t="s">
        <v>41</v>
      </c>
      <c r="D208" s="13" t="str">
        <f t="shared" si="0"/>
        <v>SP</v>
      </c>
      <c r="E208" s="15" t="str">
        <f>IFERROR(VLOOKUP(Tabela1[[#This Row],[Nº Barra]],Parecer!$A$3:$F$70,5,FALSE), "Barramento ausente nos casos, porém ativo no SISBAR (sem carga e geração)")</f>
        <v>Barramento ausente nos casos, porém ativo no SISBAR (sem carga e geração)</v>
      </c>
      <c r="F208" s="5"/>
    </row>
    <row r="209" spans="1:6" x14ac:dyDescent="0.25">
      <c r="A209" s="2">
        <v>4432</v>
      </c>
      <c r="B209" s="2" t="s">
        <v>345</v>
      </c>
      <c r="C209" s="11" t="s">
        <v>128</v>
      </c>
      <c r="D209" s="13" t="str">
        <f t="shared" si="0"/>
        <v>CH</v>
      </c>
      <c r="E209" s="15" t="str">
        <f>IFERROR(VLOOKUP(Tabela1[[#This Row],[Nº Barra]],Parecer!$A$3:$F$70,5,FALSE), "Barramento ausente nos casos, porém ativo no SISBAR (sem carga e geração)")</f>
        <v>Barramento ausente nos casos, porém ativo no SISBAR (sem carga e geração)</v>
      </c>
      <c r="F209" s="5" t="str">
        <f>IFERROR(VLOOKUP(Tabela1[[#This Row],[Nº Barra]],Parecer!$A$3:$F$70,6,FALSE), "  ")</f>
        <v xml:space="preserve">  </v>
      </c>
    </row>
    <row r="210" spans="1:6" x14ac:dyDescent="0.25">
      <c r="A210" s="2">
        <v>4468</v>
      </c>
      <c r="B210" s="2" t="s">
        <v>346</v>
      </c>
      <c r="C210" s="11" t="s">
        <v>128</v>
      </c>
      <c r="D210" s="13" t="str">
        <f t="shared" si="0"/>
        <v>CH</v>
      </c>
      <c r="E210" s="15" t="str">
        <f>IFERROR(VLOOKUP(Tabela1[[#This Row],[Nº Barra]],Parecer!$A$3:$F$70,5,FALSE), "Barramento ausente nos casos, porém ativo no SISBAR (sem carga e geração)")</f>
        <v>Barramento ausente nos casos, porém ativo no SISBAR (sem carga e geração)</v>
      </c>
      <c r="F210" s="5" t="str">
        <f>IFERROR(VLOOKUP(Tabela1[[#This Row],[Nº Barra]],Parecer!$A$3:$F$70,6,FALSE), "  ")</f>
        <v xml:space="preserve">  </v>
      </c>
    </row>
    <row r="211" spans="1:6" x14ac:dyDescent="0.25">
      <c r="A211" s="2">
        <v>4470</v>
      </c>
      <c r="B211" s="2" t="s">
        <v>347</v>
      </c>
      <c r="C211" s="11" t="s">
        <v>128</v>
      </c>
      <c r="D211" s="13" t="str">
        <f t="shared" si="0"/>
        <v>MT</v>
      </c>
      <c r="E211" s="15" t="str">
        <f>IFERROR(VLOOKUP(Tabela1[[#This Row],[Nº Barra]],Parecer!$A$3:$F$70,5,FALSE), "Barramento ausente nos casos, porém ativo no SISBAR (sem carga e geração)")</f>
        <v>Barramento ausente nos casos, porém ativo no SISBAR (sem carga e geração)</v>
      </c>
      <c r="F211" s="5" t="str">
        <f>IFERROR(VLOOKUP(Tabela1[[#This Row],[Nº Barra]],Parecer!$A$3:$F$70,6,FALSE), "  ")</f>
        <v xml:space="preserve">  </v>
      </c>
    </row>
    <row r="212" spans="1:6" x14ac:dyDescent="0.25">
      <c r="A212" s="2">
        <v>6451</v>
      </c>
      <c r="B212" s="2" t="s">
        <v>348</v>
      </c>
      <c r="C212" s="11" t="s">
        <v>180</v>
      </c>
      <c r="D212" s="13" t="str">
        <f t="shared" si="0"/>
        <v>PA</v>
      </c>
      <c r="E212" s="15" t="str">
        <f>IFERROR(VLOOKUP(Tabela1[[#This Row],[Nº Barra]],Parecer!$A$3:$F$70,5,FALSE), "Barramento ausente nos casos, porém ativo no SISBAR (sem carga e geração)")</f>
        <v>Barramento ausente nos casos, porém ativo no SISBAR (sem carga e geração)</v>
      </c>
      <c r="F212" s="5" t="str">
        <f>IFERROR(VLOOKUP(Tabela1[[#This Row],[Nº Barra]],Parecer!$A$3:$F$70,6,FALSE), "  ")</f>
        <v xml:space="preserve">  </v>
      </c>
    </row>
    <row r="213" spans="1:6" x14ac:dyDescent="0.25">
      <c r="A213" s="2">
        <v>6457</v>
      </c>
      <c r="B213" s="2" t="s">
        <v>349</v>
      </c>
      <c r="C213" s="11" t="s">
        <v>322</v>
      </c>
      <c r="D213" s="13" t="str">
        <f t="shared" si="0"/>
        <v>PA</v>
      </c>
      <c r="E213" s="15" t="str">
        <f>IFERROR(VLOOKUP(Tabela1[[#This Row],[Nº Barra]],Parecer!$A$3:$F$70,5,FALSE), "Barramento ausente nos casos, porém ativo no SISBAR (sem carga e geração)")</f>
        <v>Barramento ausente nos casos, porém ativo no SISBAR (sem carga e geração)</v>
      </c>
      <c r="F213" s="5" t="str">
        <f>IFERROR(VLOOKUP(Tabela1[[#This Row],[Nº Barra]],Parecer!$A$3:$F$70,6,FALSE), "  ")</f>
        <v xml:space="preserve">  </v>
      </c>
    </row>
    <row r="214" spans="1:6" x14ac:dyDescent="0.25">
      <c r="A214" s="2">
        <v>6526</v>
      </c>
      <c r="B214" s="2" t="s">
        <v>350</v>
      </c>
      <c r="C214" s="11" t="s">
        <v>180</v>
      </c>
      <c r="D214" s="13" t="str">
        <f t="shared" si="0"/>
        <v>PA</v>
      </c>
      <c r="E214" s="15" t="str">
        <f>IFERROR(VLOOKUP(Tabela1[[#This Row],[Nº Barra]],Parecer!$A$3:$F$70,5,FALSE), "Barramento ausente nos casos, porém ativo no SISBAR (sem carga e geração)")</f>
        <v>Barramento ausente nos casos, porém ativo no SISBAR (sem carga e geração)</v>
      </c>
      <c r="F214" s="5" t="str">
        <f>IFERROR(VLOOKUP(Tabela1[[#This Row],[Nº Barra]],Parecer!$A$3:$F$70,6,FALSE), "  ")</f>
        <v xml:space="preserve">  </v>
      </c>
    </row>
    <row r="215" spans="1:6" x14ac:dyDescent="0.25">
      <c r="A215" s="2">
        <v>6528</v>
      </c>
      <c r="B215" s="2" t="s">
        <v>351</v>
      </c>
      <c r="C215" s="11" t="s">
        <v>322</v>
      </c>
      <c r="D215" s="13" t="str">
        <f t="shared" si="0"/>
        <v>MA</v>
      </c>
      <c r="E215" s="15" t="str">
        <f>IFERROR(VLOOKUP(Tabela1[[#This Row],[Nº Barra]],Parecer!$A$3:$F$70,5,FALSE), "Barramento ausente nos casos, porém ativo no SISBAR (sem carga e geração)")</f>
        <v>Barramento ausente nos casos, porém ativo no SISBAR (sem carga e geração)</v>
      </c>
      <c r="F215" s="5" t="str">
        <f>IFERROR(VLOOKUP(Tabela1[[#This Row],[Nº Barra]],Parecer!$A$3:$F$70,6,FALSE), "  ")</f>
        <v xml:space="preserve">  </v>
      </c>
    </row>
    <row r="216" spans="1:6" x14ac:dyDescent="0.25">
      <c r="A216" s="2">
        <v>6911</v>
      </c>
      <c r="B216" s="2" t="s">
        <v>352</v>
      </c>
      <c r="C216" s="11" t="s">
        <v>353</v>
      </c>
      <c r="D216" s="13" t="str">
        <f t="shared" si="0"/>
        <v>R1</v>
      </c>
      <c r="E216" s="15" t="str">
        <f>IFERROR(VLOOKUP(Tabela1[[#This Row],[Nº Barra]],Parecer!$A$3:$F$70,5,FALSE), "Barramento ausente nos casos, porém ativo no SISBAR (sem carga e geração)")</f>
        <v>Barramento ausente nos casos, porém ativo no SISBAR (sem carga e geração)</v>
      </c>
      <c r="F216" s="5" t="str">
        <f>IFERROR(VLOOKUP(Tabela1[[#This Row],[Nº Barra]],Parecer!$A$3:$F$70,6,FALSE), "  ")</f>
        <v xml:space="preserve">  </v>
      </c>
    </row>
    <row r="217" spans="1:6" x14ac:dyDescent="0.25">
      <c r="A217" s="2">
        <v>7592</v>
      </c>
      <c r="B217" s="2" t="s">
        <v>354</v>
      </c>
      <c r="C217" s="11" t="s">
        <v>46</v>
      </c>
      <c r="D217" s="13" t="str">
        <f t="shared" si="0"/>
        <v>CS</v>
      </c>
      <c r="E217" s="15" t="str">
        <f>IFERROR(VLOOKUP(Tabela1[[#This Row],[Nº Barra]],Parecer!$A$3:$F$70,5,FALSE), "Barramento ausente nos casos, porém ativo no SISBAR (sem carga e geração)")</f>
        <v>Barramento ausente nos casos, porém ativo no SISBAR (sem carga e geração)</v>
      </c>
      <c r="F217" s="5" t="str">
        <f>IFERROR(VLOOKUP(Tabela1[[#This Row],[Nº Barra]],Parecer!$A$3:$F$70,6,FALSE), "  ")</f>
        <v xml:space="preserve">  </v>
      </c>
    </row>
    <row r="218" spans="1:6" x14ac:dyDescent="0.25">
      <c r="A218" s="2">
        <v>7694</v>
      </c>
      <c r="B218" s="2" t="s">
        <v>164</v>
      </c>
      <c r="C218" s="11" t="s">
        <v>46</v>
      </c>
      <c r="D218" s="13" t="str">
        <f t="shared" si="0"/>
        <v>SP</v>
      </c>
      <c r="E218" s="15" t="str">
        <f>IFERROR(VLOOKUP(Tabela1[[#This Row],[Nº Barra]],Parecer!$A$3:$F$70,5,FALSE), "Barramento ausente nos casos, porém ativo no SISBAR (sem carga e geração)")</f>
        <v>Barramento ausente nos casos, porém ativo no SISBAR (sem carga e geração)</v>
      </c>
      <c r="F218" s="5"/>
    </row>
    <row r="219" spans="1:6" x14ac:dyDescent="0.25">
      <c r="A219" s="2">
        <v>7829</v>
      </c>
      <c r="B219" s="2" t="s">
        <v>355</v>
      </c>
      <c r="C219" s="11" t="s">
        <v>46</v>
      </c>
      <c r="D219" s="13" t="str">
        <f t="shared" si="0"/>
        <v>MG</v>
      </c>
      <c r="E219" s="15" t="str">
        <f>IFERROR(VLOOKUP(Tabela1[[#This Row],[Nº Barra]],Parecer!$A$3:$F$70,5,FALSE), "Barramento ausente nos casos, porém ativo no SISBAR (sem carga e geração)")</f>
        <v>Barramento ausente nos casos, porém ativo no SISBAR (sem carga e geração)</v>
      </c>
      <c r="F219" s="5" t="str">
        <f>IFERROR(VLOOKUP(Tabela1[[#This Row],[Nº Barra]],Parecer!$A$3:$F$70,6,FALSE), "  ")</f>
        <v xml:space="preserve">  </v>
      </c>
    </row>
    <row r="220" spans="1:6" x14ac:dyDescent="0.25">
      <c r="A220" s="2">
        <v>7833</v>
      </c>
      <c r="B220" s="2" t="s">
        <v>356</v>
      </c>
      <c r="C220" s="11" t="s">
        <v>41</v>
      </c>
      <c r="D220" s="13" t="str">
        <f t="shared" si="0"/>
        <v>SP</v>
      </c>
      <c r="E220" s="15" t="str">
        <f>IFERROR(VLOOKUP(Tabela1[[#This Row],[Nº Barra]],Parecer!$A$3:$F$70,5,FALSE), "Barramento ausente nos casos, porém ativo no SISBAR (sem carga e geração)")</f>
        <v>Barramento ausente nos casos, porém ativo no SISBAR (sem carga e geração)</v>
      </c>
      <c r="F220" s="5" t="str">
        <f>IFERROR(VLOOKUP(Tabela1[[#This Row],[Nº Barra]],Parecer!$A$3:$F$70,6,FALSE), "  ")</f>
        <v xml:space="preserve">  </v>
      </c>
    </row>
    <row r="221" spans="1:6" x14ac:dyDescent="0.25">
      <c r="A221" s="2">
        <v>7922</v>
      </c>
      <c r="B221" s="2" t="s">
        <v>357</v>
      </c>
      <c r="C221" s="11" t="s">
        <v>46</v>
      </c>
      <c r="D221" s="13" t="str">
        <f t="shared" si="0"/>
        <v>PE</v>
      </c>
      <c r="E221" s="15" t="str">
        <f>IFERROR(VLOOKUP(Tabela1[[#This Row],[Nº Barra]],Parecer!$A$3:$F$70,5,FALSE), "Barramento ausente nos casos, porém ativo no SISBAR (sem carga e geração)")</f>
        <v>Barramento ausente nos casos, porém ativo no SISBAR (sem carga e geração)</v>
      </c>
      <c r="F221" s="5" t="str">
        <f>IFERROR(VLOOKUP(Tabela1[[#This Row],[Nº Barra]],Parecer!$A$3:$F$70,6,FALSE), "  ")</f>
        <v xml:space="preserve">  </v>
      </c>
    </row>
    <row r="222" spans="1:6" x14ac:dyDescent="0.25">
      <c r="A222" s="2">
        <v>7923</v>
      </c>
      <c r="B222" s="2" t="s">
        <v>358</v>
      </c>
      <c r="C222" s="11" t="s">
        <v>46</v>
      </c>
      <c r="D222" s="13" t="str">
        <f t="shared" si="0"/>
        <v>PE</v>
      </c>
      <c r="E222" s="15" t="str">
        <f>IFERROR(VLOOKUP(Tabela1[[#This Row],[Nº Barra]],Parecer!$A$3:$F$70,5,FALSE), "Barramento ausente nos casos, porém ativo no SISBAR (sem carga e geração)")</f>
        <v>Barramento ausente nos casos, porém ativo no SISBAR (sem carga e geração)</v>
      </c>
      <c r="F222" s="5" t="str">
        <f>IFERROR(VLOOKUP(Tabela1[[#This Row],[Nº Barra]],Parecer!$A$3:$F$70,6,FALSE), "  ")</f>
        <v xml:space="preserve">  </v>
      </c>
    </row>
    <row r="223" spans="1:6" x14ac:dyDescent="0.25">
      <c r="A223" s="2">
        <v>8317</v>
      </c>
      <c r="B223" s="2" t="s">
        <v>359</v>
      </c>
      <c r="C223" s="11" t="s">
        <v>217</v>
      </c>
      <c r="D223" s="13" t="str">
        <f t="shared" si="0"/>
        <v>CE</v>
      </c>
      <c r="E223" s="15" t="str">
        <f>IFERROR(VLOOKUP(Tabela1[[#This Row],[Nº Barra]],Parecer!$A$3:$F$70,5,FALSE), "Barramento ausente nos casos, porém ativo no SISBAR (sem carga e geração)")</f>
        <v>Barramento ausente nos casos, porém ativo no SISBAR (sem carga e geração)</v>
      </c>
      <c r="F223" s="5" t="str">
        <f>IFERROR(VLOOKUP(Tabela1[[#This Row],[Nº Barra]],Parecer!$A$3:$F$70,6,FALSE), "  ")</f>
        <v xml:space="preserve">  </v>
      </c>
    </row>
    <row r="224" spans="1:6" x14ac:dyDescent="0.25">
      <c r="A224" s="2">
        <v>8561</v>
      </c>
      <c r="B224" s="2" t="s">
        <v>360</v>
      </c>
      <c r="C224" s="11" t="s">
        <v>197</v>
      </c>
      <c r="D224" s="13" t="str">
        <f t="shared" si="0"/>
        <v>AM</v>
      </c>
      <c r="E224" s="15" t="str">
        <f>IFERROR(VLOOKUP(Tabela1[[#This Row],[Nº Barra]],Parecer!$A$3:$F$70,5,FALSE), "Barramento ausente nos casos, porém ativo no SISBAR (sem carga e geração)")</f>
        <v>Barramento ausente nos casos, porém ativo no SISBAR (sem carga e geração)</v>
      </c>
      <c r="F224" s="5" t="str">
        <f>IFERROR(VLOOKUP(Tabela1[[#This Row],[Nº Barra]],Parecer!$A$3:$F$70,6,FALSE), "  ")</f>
        <v xml:space="preserve">  </v>
      </c>
    </row>
    <row r="225" spans="1:6" x14ac:dyDescent="0.25">
      <c r="A225" s="2">
        <v>8593</v>
      </c>
      <c r="B225" s="2" t="s">
        <v>361</v>
      </c>
      <c r="C225" s="11" t="s">
        <v>197</v>
      </c>
      <c r="D225" s="13" t="str">
        <f t="shared" si="0"/>
        <v>AM</v>
      </c>
      <c r="E225" s="15" t="str">
        <f>IFERROR(VLOOKUP(Tabela1[[#This Row],[Nº Barra]],Parecer!$A$3:$F$70,5,FALSE), "Barramento ausente nos casos, porém ativo no SISBAR (sem carga e geração)")</f>
        <v>Barramento ausente nos casos, porém ativo no SISBAR (sem carga e geração)</v>
      </c>
      <c r="F225" s="5" t="str">
        <f>IFERROR(VLOOKUP(Tabela1[[#This Row],[Nº Barra]],Parecer!$A$3:$F$70,6,FALSE), "  ")</f>
        <v xml:space="preserve">  </v>
      </c>
    </row>
    <row r="226" spans="1:6" x14ac:dyDescent="0.25">
      <c r="A226" s="2">
        <v>8596</v>
      </c>
      <c r="B226" s="2" t="s">
        <v>362</v>
      </c>
      <c r="C226" s="11" t="s">
        <v>197</v>
      </c>
      <c r="D226" s="13" t="str">
        <f t="shared" si="0"/>
        <v>AM</v>
      </c>
      <c r="E226" s="15" t="str">
        <f>IFERROR(VLOOKUP(Tabela1[[#This Row],[Nº Barra]],Parecer!$A$3:$F$70,5,FALSE), "Barramento ausente nos casos, porém ativo no SISBAR (sem carga e geração)")</f>
        <v>Barramento ausente nos casos, porém ativo no SISBAR (sem carga e geração)</v>
      </c>
      <c r="F226" s="5" t="str">
        <f>IFERROR(VLOOKUP(Tabela1[[#This Row],[Nº Barra]],Parecer!$A$3:$F$70,6,FALSE), "  ")</f>
        <v xml:space="preserve">  </v>
      </c>
    </row>
    <row r="227" spans="1:6" x14ac:dyDescent="0.25">
      <c r="A227" s="2">
        <v>8877</v>
      </c>
      <c r="B227" s="2" t="s">
        <v>363</v>
      </c>
      <c r="C227" s="11" t="s">
        <v>47</v>
      </c>
      <c r="D227" s="13" t="str">
        <f t="shared" si="0"/>
        <v>AQ</v>
      </c>
      <c r="E227" s="15" t="str">
        <f>IFERROR(VLOOKUP(Tabela1[[#This Row],[Nº Barra]],Parecer!$A$3:$F$70,5,FALSE), "Barramento ausente nos casos, porém ativo no SISBAR (sem carga e geração)")</f>
        <v>Barramento ausente nos casos, porém ativo no SISBAR (sem carga e geração)</v>
      </c>
      <c r="F227" s="5" t="str">
        <f>IFERROR(VLOOKUP(Tabela1[[#This Row],[Nº Barra]],Parecer!$A$3:$F$70,6,FALSE), "  ")</f>
        <v xml:space="preserve">  </v>
      </c>
    </row>
    <row r="228" spans="1:6" x14ac:dyDescent="0.25">
      <c r="A228" s="2">
        <v>8889</v>
      </c>
      <c r="B228" s="2" t="s">
        <v>364</v>
      </c>
      <c r="C228" s="11" t="s">
        <v>46</v>
      </c>
      <c r="D228" s="13" t="str">
        <f t="shared" si="0"/>
        <v>CE</v>
      </c>
      <c r="E228" s="15" t="str">
        <f>IFERROR(VLOOKUP(Tabela1[[#This Row],[Nº Barra]],Parecer!$A$3:$F$70,5,FALSE), "Barramento ausente nos casos, porém ativo no SISBAR (sem carga e geração)")</f>
        <v>Barramento ausente nos casos, porém ativo no SISBAR (sem carga e geração)</v>
      </c>
      <c r="F228" s="5" t="str">
        <f>IFERROR(VLOOKUP(Tabela1[[#This Row],[Nº Barra]],Parecer!$A$3:$F$70,6,FALSE), "  ")</f>
        <v xml:space="preserve">  </v>
      </c>
    </row>
    <row r="229" spans="1:6" x14ac:dyDescent="0.25">
      <c r="A229" s="2">
        <v>8890</v>
      </c>
      <c r="B229" s="2" t="s">
        <v>365</v>
      </c>
      <c r="C229" s="11" t="s">
        <v>46</v>
      </c>
      <c r="D229" s="13" t="str">
        <f t="shared" si="0"/>
        <v>CE</v>
      </c>
      <c r="E229" s="15" t="str">
        <f>IFERROR(VLOOKUP(Tabela1[[#This Row],[Nº Barra]],Parecer!$A$3:$F$70,5,FALSE), "Barramento ausente nos casos, porém ativo no SISBAR (sem carga e geração)")</f>
        <v>Barramento ausente nos casos, porém ativo no SISBAR (sem carga e geração)</v>
      </c>
      <c r="F229" s="5" t="str">
        <f>IFERROR(VLOOKUP(Tabela1[[#This Row],[Nº Barra]],Parecer!$A$3:$F$70,6,FALSE), "  ")</f>
        <v xml:space="preserve">  </v>
      </c>
    </row>
    <row r="230" spans="1:6" x14ac:dyDescent="0.25">
      <c r="A230" s="2">
        <v>8891</v>
      </c>
      <c r="B230" s="2" t="s">
        <v>366</v>
      </c>
      <c r="C230" s="11" t="s">
        <v>46</v>
      </c>
      <c r="D230" s="13" t="str">
        <f t="shared" si="0"/>
        <v>FV</v>
      </c>
      <c r="E230" s="15" t="str">
        <f>IFERROR(VLOOKUP(Tabela1[[#This Row],[Nº Barra]],Parecer!$A$3:$F$70,5,FALSE), "Barramento ausente nos casos, porém ativo no SISBAR (sem carga e geração)")</f>
        <v>Barramento ausente nos casos, porém ativo no SISBAR (sem carga e geração)</v>
      </c>
      <c r="F230" s="5" t="str">
        <f>IFERROR(VLOOKUP(Tabela1[[#This Row],[Nº Barra]],Parecer!$A$3:$F$70,6,FALSE), "  ")</f>
        <v xml:space="preserve">  </v>
      </c>
    </row>
    <row r="231" spans="1:6" x14ac:dyDescent="0.25">
      <c r="A231" s="2">
        <v>9091</v>
      </c>
      <c r="B231" s="2" t="s">
        <v>120</v>
      </c>
      <c r="C231" s="11" t="s">
        <v>49</v>
      </c>
      <c r="D231" s="13" t="str">
        <f t="shared" si="0"/>
        <v>MG</v>
      </c>
      <c r="E231" s="15" t="str">
        <f>IFERROR(VLOOKUP(Tabela1[[#This Row],[Nº Barra]],Parecer!$A$3:$F$70,5,FALSE), "Barramento ausente nos casos, porém ativo no SISBAR (sem carga e geração)")</f>
        <v>Barramento ausente nos casos, porém ativo no SISBAR (sem carga e geração)</v>
      </c>
      <c r="F231" s="5" t="str">
        <f>IFERROR(VLOOKUP(Tabela1[[#This Row],[Nº Barra]],Parecer!$A$3:$F$70,6,FALSE), "  ")</f>
        <v>Obra DIST_CEMIG-D-MG_NOVA CONFIGURAÇÃO DA REGIÃO DE POUSO ALEGRE que exclui a barra está prevista para 21/12/2026. Na comparação com o SIGER deve ser incluída no mensal de fevereiro/2026.</v>
      </c>
    </row>
    <row r="232" spans="1:6" x14ac:dyDescent="0.25">
      <c r="A232" s="2">
        <v>9092</v>
      </c>
      <c r="B232" s="2" t="s">
        <v>123</v>
      </c>
      <c r="C232" s="11" t="s">
        <v>49</v>
      </c>
      <c r="D232" s="13" t="str">
        <f t="shared" si="0"/>
        <v>MG</v>
      </c>
      <c r="E232" s="15" t="str">
        <f>IFERROR(VLOOKUP(Tabela1[[#This Row],[Nº Barra]],Parecer!$A$3:$F$70,5,FALSE), "Barramento ausente nos casos, porém ativo no SISBAR (sem carga e geração)")</f>
        <v>Barramento ausente nos casos, porém ativo no SISBAR (sem carga e geração)</v>
      </c>
      <c r="F232" s="5" t="str">
        <f>IFERROR(VLOOKUP(Tabela1[[#This Row],[Nº Barra]],Parecer!$A$3:$F$70,6,FALSE), "  ")</f>
        <v>Obra DIST_CEMIG-D-MG_NOVA CONFIGURAÇÃO DA REGIÃO DE POUSO ALEGRE que exclui a barra está prevista para 21/12/2026. Na comparação com o SIGER deve ser incluída no mensal de fevereiro/2026.</v>
      </c>
    </row>
    <row r="233" spans="1:6" x14ac:dyDescent="0.25">
      <c r="A233" s="2">
        <v>11967</v>
      </c>
      <c r="B233" s="2" t="s">
        <v>367</v>
      </c>
      <c r="C233" s="11" t="s">
        <v>46</v>
      </c>
      <c r="D233" s="13" t="str">
        <f t="shared" si="0"/>
        <v>SP</v>
      </c>
      <c r="E233" s="15" t="str">
        <f>IFERROR(VLOOKUP(Tabela1[[#This Row],[Nº Barra]],Parecer!$A$3:$F$70,5,FALSE), "Barramento ausente nos casos, porém ativo no SISBAR (sem carga e geração)")</f>
        <v>Barramento ausente nos casos, porém ativo no SISBAR (sem carga e geração)</v>
      </c>
      <c r="F233" s="5" t="str">
        <f>IFERROR(VLOOKUP(Tabela1[[#This Row],[Nº Barra]],Parecer!$A$3:$F$70,6,FALSE), "  ")</f>
        <v xml:space="preserve">  </v>
      </c>
    </row>
    <row r="234" spans="1:6" x14ac:dyDescent="0.25">
      <c r="A234" s="2">
        <v>13425</v>
      </c>
      <c r="B234" s="2" t="s">
        <v>368</v>
      </c>
      <c r="C234" s="11" t="s">
        <v>46</v>
      </c>
      <c r="D234" s="13" t="str">
        <f t="shared" si="0"/>
        <v>SP</v>
      </c>
      <c r="E234" s="15" t="str">
        <f>IFERROR(VLOOKUP(Tabela1[[#This Row],[Nº Barra]],Parecer!$A$3:$F$70,5,FALSE), "Barramento ausente nos casos, porém ativo no SISBAR (sem carga e geração)")</f>
        <v>Barramento ausente nos casos, porém ativo no SISBAR (sem carga e geração)</v>
      </c>
      <c r="F234" s="5" t="str">
        <f>IFERROR(VLOOKUP(Tabela1[[#This Row],[Nº Barra]],Parecer!$A$3:$F$70,6,FALSE), "  ")</f>
        <v xml:space="preserve">  </v>
      </c>
    </row>
    <row r="235" spans="1:6" x14ac:dyDescent="0.25">
      <c r="A235" s="2">
        <v>13426</v>
      </c>
      <c r="B235" s="2" t="s">
        <v>369</v>
      </c>
      <c r="C235" s="11" t="s">
        <v>46</v>
      </c>
      <c r="D235" s="13" t="str">
        <f t="shared" si="0"/>
        <v>SP</v>
      </c>
      <c r="E235" s="15" t="str">
        <f>IFERROR(VLOOKUP(Tabela1[[#This Row],[Nº Barra]],Parecer!$A$3:$F$70,5,FALSE), "Barramento ausente nos casos, porém ativo no SISBAR (sem carga e geração)")</f>
        <v>Barramento ausente nos casos, porém ativo no SISBAR (sem carga e geração)</v>
      </c>
      <c r="F235" s="5" t="str">
        <f>IFERROR(VLOOKUP(Tabela1[[#This Row],[Nº Barra]],Parecer!$A$3:$F$70,6,FALSE), "  ")</f>
        <v xml:space="preserve">  </v>
      </c>
    </row>
    <row r="236" spans="1:6" x14ac:dyDescent="0.25">
      <c r="A236" s="2">
        <v>13676</v>
      </c>
      <c r="B236" s="2" t="s">
        <v>155</v>
      </c>
      <c r="C236" s="11" t="s">
        <v>146</v>
      </c>
      <c r="D236" s="13" t="str">
        <f t="shared" si="0"/>
        <v>SP</v>
      </c>
      <c r="E236" s="15" t="str">
        <f>IFERROR(VLOOKUP(Tabela1[[#This Row],[Nº Barra]],Parecer!$A$3:$F$70,5,FALSE), "Barramento ausente nos casos, porém ativo no SISBAR (sem carga e geração)")</f>
        <v>Barramento ausente nos casos, porém ativo no SISBAR (sem carga e geração)</v>
      </c>
      <c r="F236" s="5" t="str">
        <f>IFERROR(VLOOKUP(Tabela1[[#This Row],[Nº Barra]],Parecer!$A$3:$F$70,6,FALSE), "  ")</f>
        <v>Essa barra vai representar a futura SE Franca 5-Imperador, cuja obra está atrasada. Assim que concluída a obra, faremos a representação no caso Mensal.</v>
      </c>
    </row>
    <row r="237" spans="1:6" x14ac:dyDescent="0.25">
      <c r="A237" s="2">
        <v>13804</v>
      </c>
      <c r="B237" s="2" t="s">
        <v>370</v>
      </c>
      <c r="C237" s="11" t="s">
        <v>41</v>
      </c>
      <c r="D237" s="13" t="str">
        <f t="shared" si="0"/>
        <v>SP</v>
      </c>
      <c r="E237" s="15" t="str">
        <f>IFERROR(VLOOKUP(Tabela1[[#This Row],[Nº Barra]],Parecer!$A$3:$F$70,5,FALSE), "Barramento ausente nos casos, porém ativo no SISBAR (sem carga e geração)")</f>
        <v>Barramento ausente nos casos, porém ativo no SISBAR (sem carga e geração)</v>
      </c>
      <c r="F237" s="5" t="str">
        <f>IFERROR(VLOOKUP(Tabela1[[#This Row],[Nº Barra]],Parecer!$A$3:$F$70,6,FALSE), "  ")</f>
        <v xml:space="preserve">  </v>
      </c>
    </row>
    <row r="238" spans="1:6" x14ac:dyDescent="0.25">
      <c r="A238" s="2">
        <v>13834</v>
      </c>
      <c r="B238" s="2" t="s">
        <v>371</v>
      </c>
      <c r="C238" s="11" t="s">
        <v>41</v>
      </c>
      <c r="D238" s="13" t="str">
        <f t="shared" si="0"/>
        <v>SP</v>
      </c>
      <c r="E238" s="15" t="str">
        <f>IFERROR(VLOOKUP(Tabela1[[#This Row],[Nº Barra]],Parecer!$A$3:$F$70,5,FALSE), "Barramento ausente nos casos, porém ativo no SISBAR (sem carga e geração)")</f>
        <v>Barramento ausente nos casos, porém ativo no SISBAR (sem carga e geração)</v>
      </c>
      <c r="F238" s="5" t="str">
        <f>IFERROR(VLOOKUP(Tabela1[[#This Row],[Nº Barra]],Parecer!$A$3:$F$70,6,FALSE), "  ")</f>
        <v xml:space="preserve">  </v>
      </c>
    </row>
    <row r="239" spans="1:6" x14ac:dyDescent="0.25">
      <c r="A239" s="2">
        <v>13849</v>
      </c>
      <c r="B239" s="2" t="s">
        <v>372</v>
      </c>
      <c r="C239" s="11" t="s">
        <v>46</v>
      </c>
      <c r="D239" s="13" t="str">
        <f t="shared" si="0"/>
        <v>SP</v>
      </c>
      <c r="E239" s="15" t="str">
        <f>IFERROR(VLOOKUP(Tabela1[[#This Row],[Nº Barra]],Parecer!$A$3:$F$70,5,FALSE), "Barramento ausente nos casos, porém ativo no SISBAR (sem carga e geração)")</f>
        <v>Barramento ausente nos casos, porém ativo no SISBAR (sem carga e geração)</v>
      </c>
      <c r="F239" s="5" t="str">
        <f>IFERROR(VLOOKUP(Tabela1[[#This Row],[Nº Barra]],Parecer!$A$3:$F$70,6,FALSE), "  ")</f>
        <v xml:space="preserve">  </v>
      </c>
    </row>
    <row r="240" spans="1:6" x14ac:dyDescent="0.25">
      <c r="A240" s="2">
        <v>13930</v>
      </c>
      <c r="B240" s="2" t="s">
        <v>373</v>
      </c>
      <c r="C240" s="11" t="s">
        <v>46</v>
      </c>
      <c r="D240" s="13" t="str">
        <f t="shared" si="0"/>
        <v>SP</v>
      </c>
      <c r="E240" s="15" t="str">
        <f>IFERROR(VLOOKUP(Tabela1[[#This Row],[Nº Barra]],Parecer!$A$3:$F$70,5,FALSE), "Barramento ausente nos casos, porém ativo no SISBAR (sem carga e geração)")</f>
        <v>Barramento ausente nos casos, porém ativo no SISBAR (sem carga e geração)</v>
      </c>
      <c r="F240" s="5" t="str">
        <f>IFERROR(VLOOKUP(Tabela1[[#This Row],[Nº Barra]],Parecer!$A$3:$F$70,6,FALSE), "  ")</f>
        <v xml:space="preserve">  </v>
      </c>
    </row>
    <row r="241" spans="1:6" x14ac:dyDescent="0.25">
      <c r="A241" s="2">
        <v>14150</v>
      </c>
      <c r="B241" s="2" t="s">
        <v>374</v>
      </c>
      <c r="C241" s="11" t="s">
        <v>41</v>
      </c>
      <c r="D241" s="13" t="str">
        <f t="shared" si="0"/>
        <v>SP</v>
      </c>
      <c r="E241" s="15" t="str">
        <f>IFERROR(VLOOKUP(Tabela1[[#This Row],[Nº Barra]],Parecer!$A$3:$F$70,5,FALSE), "Barramento ausente nos casos, porém ativo no SISBAR (sem carga e geração)")</f>
        <v>Barramento ausente nos casos, porém ativo no SISBAR (sem carga e geração)</v>
      </c>
      <c r="F241" s="5" t="str">
        <f>IFERROR(VLOOKUP(Tabela1[[#This Row],[Nº Barra]],Parecer!$A$3:$F$70,6,FALSE), "  ")</f>
        <v xml:space="preserve">  </v>
      </c>
    </row>
    <row r="242" spans="1:6" x14ac:dyDescent="0.25">
      <c r="A242" s="2">
        <v>14163</v>
      </c>
      <c r="B242" s="2" t="s">
        <v>375</v>
      </c>
      <c r="C242" s="11" t="s">
        <v>41</v>
      </c>
      <c r="D242" s="13" t="str">
        <f t="shared" si="0"/>
        <v>SP</v>
      </c>
      <c r="E242" s="15" t="str">
        <f>IFERROR(VLOOKUP(Tabela1[[#This Row],[Nº Barra]],Parecer!$A$3:$F$70,5,FALSE), "Barramento ausente nos casos, porém ativo no SISBAR (sem carga e geração)")</f>
        <v>Barramento ausente nos casos, porém ativo no SISBAR (sem carga e geração)</v>
      </c>
      <c r="F242" s="5" t="str">
        <f>IFERROR(VLOOKUP(Tabela1[[#This Row],[Nº Barra]],Parecer!$A$3:$F$70,6,FALSE), "  ")</f>
        <v xml:space="preserve">  </v>
      </c>
    </row>
    <row r="243" spans="1:6" x14ac:dyDescent="0.25">
      <c r="A243" s="2">
        <v>14194</v>
      </c>
      <c r="B243" s="2" t="s">
        <v>376</v>
      </c>
      <c r="C243" s="11" t="s">
        <v>46</v>
      </c>
      <c r="D243" s="13" t="str">
        <f t="shared" si="0"/>
        <v>SP</v>
      </c>
      <c r="E243" s="15" t="str">
        <f>IFERROR(VLOOKUP(Tabela1[[#This Row],[Nº Barra]],Parecer!$A$3:$F$70,5,FALSE), "Barramento ausente nos casos, porém ativo no SISBAR (sem carga e geração)")</f>
        <v>Barramento ausente nos casos, porém ativo no SISBAR (sem carga e geração)</v>
      </c>
      <c r="F243" s="5" t="str">
        <f>IFERROR(VLOOKUP(Tabela1[[#This Row],[Nº Barra]],Parecer!$A$3:$F$70,6,FALSE), "  ")</f>
        <v xml:space="preserve">  </v>
      </c>
    </row>
    <row r="244" spans="1:6" x14ac:dyDescent="0.25">
      <c r="A244" s="2">
        <v>17643</v>
      </c>
      <c r="B244" s="2" t="s">
        <v>377</v>
      </c>
      <c r="C244" s="11" t="s">
        <v>342</v>
      </c>
      <c r="D244" s="13" t="str">
        <f t="shared" si="0"/>
        <v>SP</v>
      </c>
      <c r="E244" s="15" t="str">
        <f>IFERROR(VLOOKUP(Tabela1[[#This Row],[Nº Barra]],Parecer!$A$3:$F$70,5,FALSE), "Barramento ausente nos casos, porém ativo no SISBAR (sem carga e geração)")</f>
        <v>Barramento ausente nos casos, porém ativo no SISBAR (sem carga e geração)</v>
      </c>
      <c r="F244" s="5" t="str">
        <f>IFERROR(VLOOKUP(Tabela1[[#This Row],[Nº Barra]],Parecer!$A$3:$F$70,6,FALSE), "  ")</f>
        <v xml:space="preserve">  </v>
      </c>
    </row>
    <row r="245" spans="1:6" x14ac:dyDescent="0.25">
      <c r="A245" s="2">
        <v>17645</v>
      </c>
      <c r="B245" s="2" t="s">
        <v>378</v>
      </c>
      <c r="C245" s="11" t="s">
        <v>46</v>
      </c>
      <c r="D245" s="13" t="str">
        <f t="shared" si="0"/>
        <v>SP</v>
      </c>
      <c r="E245" s="15" t="str">
        <f>IFERROR(VLOOKUP(Tabela1[[#This Row],[Nº Barra]],Parecer!$A$3:$F$70,5,FALSE), "Barramento ausente nos casos, porém ativo no SISBAR (sem carga e geração)")</f>
        <v>Barramento ausente nos casos, porém ativo no SISBAR (sem carga e geração)</v>
      </c>
      <c r="F245" s="5" t="str">
        <f>IFERROR(VLOOKUP(Tabela1[[#This Row],[Nº Barra]],Parecer!$A$3:$F$70,6,FALSE), "  ")</f>
        <v xml:space="preserve">  </v>
      </c>
    </row>
    <row r="246" spans="1:6" x14ac:dyDescent="0.25">
      <c r="A246" s="2">
        <v>21967</v>
      </c>
      <c r="B246" s="2" t="s">
        <v>379</v>
      </c>
      <c r="C246" s="11" t="s">
        <v>46</v>
      </c>
      <c r="D246" s="13" t="str">
        <f t="shared" si="0"/>
        <v>SP</v>
      </c>
      <c r="E246" s="15" t="str">
        <f>IFERROR(VLOOKUP(Tabela1[[#This Row],[Nº Barra]],Parecer!$A$3:$F$70,5,FALSE), "Barramento ausente nos casos, porém ativo no SISBAR (sem carga e geração)")</f>
        <v>Barramento ausente nos casos, porém ativo no SISBAR (sem carga e geração)</v>
      </c>
      <c r="F246" s="5" t="str">
        <f>IFERROR(VLOOKUP(Tabela1[[#This Row],[Nº Barra]],Parecer!$A$3:$F$70,6,FALSE), "  ")</f>
        <v xml:space="preserve">  </v>
      </c>
    </row>
    <row r="247" spans="1:6" x14ac:dyDescent="0.25">
      <c r="A247" s="2">
        <v>23425</v>
      </c>
      <c r="B247" s="2" t="s">
        <v>380</v>
      </c>
      <c r="C247" s="11" t="s">
        <v>46</v>
      </c>
      <c r="D247" s="13" t="str">
        <f t="shared" si="0"/>
        <v>SP</v>
      </c>
      <c r="E247" s="15" t="str">
        <f>IFERROR(VLOOKUP(Tabela1[[#This Row],[Nº Barra]],Parecer!$A$3:$F$70,5,FALSE), "Barramento ausente nos casos, porém ativo no SISBAR (sem carga e geração)")</f>
        <v>Barramento ausente nos casos, porém ativo no SISBAR (sem carga e geração)</v>
      </c>
      <c r="F247" s="5" t="str">
        <f>IFERROR(VLOOKUP(Tabela1[[#This Row],[Nº Barra]],Parecer!$A$3:$F$70,6,FALSE), "  ")</f>
        <v xml:space="preserve">  </v>
      </c>
    </row>
    <row r="248" spans="1:6" x14ac:dyDescent="0.25">
      <c r="A248" s="2">
        <v>23426</v>
      </c>
      <c r="B248" s="2" t="s">
        <v>381</v>
      </c>
      <c r="C248" s="11" t="s">
        <v>46</v>
      </c>
      <c r="D248" s="13" t="str">
        <f t="shared" si="0"/>
        <v>SP</v>
      </c>
      <c r="E248" s="15" t="str">
        <f>IFERROR(VLOOKUP(Tabela1[[#This Row],[Nº Barra]],Parecer!$A$3:$F$70,5,FALSE), "Barramento ausente nos casos, porém ativo no SISBAR (sem carga e geração)")</f>
        <v>Barramento ausente nos casos, porém ativo no SISBAR (sem carga e geração)</v>
      </c>
      <c r="F248" s="5" t="str">
        <f>IFERROR(VLOOKUP(Tabela1[[#This Row],[Nº Barra]],Parecer!$A$3:$F$70,6,FALSE), "  ")</f>
        <v xml:space="preserve">  </v>
      </c>
    </row>
    <row r="249" spans="1:6" x14ac:dyDescent="0.25">
      <c r="A249" s="2">
        <v>23676</v>
      </c>
      <c r="B249" s="2" t="s">
        <v>157</v>
      </c>
      <c r="C249" s="11" t="s">
        <v>146</v>
      </c>
      <c r="D249" s="13" t="str">
        <f t="shared" si="0"/>
        <v>SP</v>
      </c>
      <c r="E249" s="15" t="str">
        <f>IFERROR(VLOOKUP(Tabela1[[#This Row],[Nº Barra]],Parecer!$A$3:$F$70,5,FALSE), "Barramento ausente nos casos, porém ativo no SISBAR (sem carga e geração)")</f>
        <v>Barramento ausente nos casos, porém ativo no SISBAR (sem carga e geração)</v>
      </c>
      <c r="F249" s="5" t="str">
        <f>IFERROR(VLOOKUP(Tabela1[[#This Row],[Nº Barra]],Parecer!$A$3:$F$70,6,FALSE), "  ")</f>
        <v>Essa barra vai representar a futura SE Franca 5-Imperador, cuja obra está atrasada. Assim que concluída a obra, faremos a representação no caso Mensal.</v>
      </c>
    </row>
    <row r="250" spans="1:6" x14ac:dyDescent="0.25">
      <c r="A250" s="2">
        <v>23804</v>
      </c>
      <c r="B250" s="2" t="s">
        <v>382</v>
      </c>
      <c r="C250" s="11" t="s">
        <v>41</v>
      </c>
      <c r="D250" s="13" t="str">
        <f t="shared" si="0"/>
        <v>SP</v>
      </c>
      <c r="E250" s="15" t="str">
        <f>IFERROR(VLOOKUP(Tabela1[[#This Row],[Nº Barra]],Parecer!$A$3:$F$70,5,FALSE), "Barramento ausente nos casos, porém ativo no SISBAR (sem carga e geração)")</f>
        <v>Barramento ausente nos casos, porém ativo no SISBAR (sem carga e geração)</v>
      </c>
      <c r="F250" s="5" t="str">
        <f>IFERROR(VLOOKUP(Tabela1[[#This Row],[Nº Barra]],Parecer!$A$3:$F$70,6,FALSE), "  ")</f>
        <v xml:space="preserve">  </v>
      </c>
    </row>
    <row r="251" spans="1:6" x14ac:dyDescent="0.25">
      <c r="A251" s="2">
        <v>23834</v>
      </c>
      <c r="B251" s="2" t="s">
        <v>383</v>
      </c>
      <c r="C251" s="11" t="s">
        <v>41</v>
      </c>
      <c r="D251" s="13" t="str">
        <f t="shared" si="0"/>
        <v>SP</v>
      </c>
      <c r="E251" s="15" t="str">
        <f>IFERROR(VLOOKUP(Tabela1[[#This Row],[Nº Barra]],Parecer!$A$3:$F$70,5,FALSE), "Barramento ausente nos casos, porém ativo no SISBAR (sem carga e geração)")</f>
        <v>Barramento ausente nos casos, porém ativo no SISBAR (sem carga e geração)</v>
      </c>
      <c r="F251" s="5" t="str">
        <f>IFERROR(VLOOKUP(Tabela1[[#This Row],[Nº Barra]],Parecer!$A$3:$F$70,6,FALSE), "  ")</f>
        <v xml:space="preserve">  </v>
      </c>
    </row>
    <row r="252" spans="1:6" x14ac:dyDescent="0.25">
      <c r="A252" s="2">
        <v>23849</v>
      </c>
      <c r="B252" s="2" t="s">
        <v>384</v>
      </c>
      <c r="C252" s="11" t="s">
        <v>46</v>
      </c>
      <c r="D252" s="13" t="str">
        <f t="shared" si="0"/>
        <v>SP</v>
      </c>
      <c r="E252" s="15" t="str">
        <f>IFERROR(VLOOKUP(Tabela1[[#This Row],[Nº Barra]],Parecer!$A$3:$F$70,5,FALSE), "Barramento ausente nos casos, porém ativo no SISBAR (sem carga e geração)")</f>
        <v>Barramento ausente nos casos, porém ativo no SISBAR (sem carga e geração)</v>
      </c>
      <c r="F252" s="5" t="str">
        <f>IFERROR(VLOOKUP(Tabela1[[#This Row],[Nº Barra]],Parecer!$A$3:$F$70,6,FALSE), "  ")</f>
        <v xml:space="preserve">  </v>
      </c>
    </row>
    <row r="253" spans="1:6" x14ac:dyDescent="0.25">
      <c r="A253" s="2">
        <v>23930</v>
      </c>
      <c r="B253" s="2" t="s">
        <v>385</v>
      </c>
      <c r="C253" s="11" t="s">
        <v>46</v>
      </c>
      <c r="D253" s="13" t="str">
        <f t="shared" si="0"/>
        <v>SP</v>
      </c>
      <c r="E253" s="15" t="str">
        <f>IFERROR(VLOOKUP(Tabela1[[#This Row],[Nº Barra]],Parecer!$A$3:$F$70,5,FALSE), "Barramento ausente nos casos, porém ativo no SISBAR (sem carga e geração)")</f>
        <v>Barramento ausente nos casos, porém ativo no SISBAR (sem carga e geração)</v>
      </c>
      <c r="F253" s="5" t="str">
        <f>IFERROR(VLOOKUP(Tabela1[[#This Row],[Nº Barra]],Parecer!$A$3:$F$70,6,FALSE), "  ")</f>
        <v xml:space="preserve">  </v>
      </c>
    </row>
    <row r="254" spans="1:6" x14ac:dyDescent="0.25">
      <c r="A254" s="2">
        <v>24150</v>
      </c>
      <c r="B254" s="2" t="s">
        <v>386</v>
      </c>
      <c r="C254" s="11" t="s">
        <v>41</v>
      </c>
      <c r="D254" s="13" t="str">
        <f t="shared" si="0"/>
        <v>SP</v>
      </c>
      <c r="E254" s="15" t="str">
        <f>IFERROR(VLOOKUP(Tabela1[[#This Row],[Nº Barra]],Parecer!$A$3:$F$70,5,FALSE), "Barramento ausente nos casos, porém ativo no SISBAR (sem carga e geração)")</f>
        <v>Barramento ausente nos casos, porém ativo no SISBAR (sem carga e geração)</v>
      </c>
      <c r="F254" s="5" t="str">
        <f>IFERROR(VLOOKUP(Tabela1[[#This Row],[Nº Barra]],Parecer!$A$3:$F$70,6,FALSE), "  ")</f>
        <v xml:space="preserve">  </v>
      </c>
    </row>
    <row r="255" spans="1:6" x14ac:dyDescent="0.25">
      <c r="A255" s="2">
        <v>24163</v>
      </c>
      <c r="B255" s="2" t="s">
        <v>387</v>
      </c>
      <c r="C255" s="11" t="s">
        <v>41</v>
      </c>
      <c r="D255" s="13" t="str">
        <f t="shared" si="0"/>
        <v>SP</v>
      </c>
      <c r="E255" s="15" t="str">
        <f>IFERROR(VLOOKUP(Tabela1[[#This Row],[Nº Barra]],Parecer!$A$3:$F$70,5,FALSE), "Barramento ausente nos casos, porém ativo no SISBAR (sem carga e geração)")</f>
        <v>Barramento ausente nos casos, porém ativo no SISBAR (sem carga e geração)</v>
      </c>
      <c r="F255" s="5" t="str">
        <f>IFERROR(VLOOKUP(Tabela1[[#This Row],[Nº Barra]],Parecer!$A$3:$F$70,6,FALSE), "  ")</f>
        <v xml:space="preserve">  </v>
      </c>
    </row>
    <row r="256" spans="1:6" x14ac:dyDescent="0.25">
      <c r="A256" s="2">
        <v>24194</v>
      </c>
      <c r="B256" s="2" t="s">
        <v>388</v>
      </c>
      <c r="C256" s="11" t="s">
        <v>46</v>
      </c>
      <c r="D256" s="13" t="str">
        <f t="shared" si="0"/>
        <v>SP</v>
      </c>
      <c r="E256" s="15" t="str">
        <f>IFERROR(VLOOKUP(Tabela1[[#This Row],[Nº Barra]],Parecer!$A$3:$F$70,5,FALSE), "Barramento ausente nos casos, porém ativo no SISBAR (sem carga e geração)")</f>
        <v>Barramento ausente nos casos, porém ativo no SISBAR (sem carga e geração)</v>
      </c>
      <c r="F256" s="5" t="str">
        <f>IFERROR(VLOOKUP(Tabela1[[#This Row],[Nº Barra]],Parecer!$A$3:$F$70,6,FALSE), "  ")</f>
        <v xml:space="preserve">  </v>
      </c>
    </row>
    <row r="257" spans="1:6" x14ac:dyDescent="0.25">
      <c r="A257" s="2">
        <v>27643</v>
      </c>
      <c r="B257" s="2" t="s">
        <v>389</v>
      </c>
      <c r="C257" s="11" t="s">
        <v>342</v>
      </c>
      <c r="D257" s="13" t="str">
        <f t="shared" ref="D257:D320" si="1">LEFT(RIGHT(B257,5),2)</f>
        <v>SP</v>
      </c>
      <c r="E257" s="15" t="str">
        <f>IFERROR(VLOOKUP(Tabela1[[#This Row],[Nº Barra]],Parecer!$A$3:$F$70,5,FALSE), "Barramento ausente nos casos, porém ativo no SISBAR (sem carga e geração)")</f>
        <v>Barramento ausente nos casos, porém ativo no SISBAR (sem carga e geração)</v>
      </c>
      <c r="F257" s="5" t="str">
        <f>IFERROR(VLOOKUP(Tabela1[[#This Row],[Nº Barra]],Parecer!$A$3:$F$70,6,FALSE), "  ")</f>
        <v xml:space="preserve">  </v>
      </c>
    </row>
    <row r="258" spans="1:6" x14ac:dyDescent="0.25">
      <c r="A258" s="2">
        <v>27645</v>
      </c>
      <c r="B258" s="2" t="s">
        <v>390</v>
      </c>
      <c r="C258" s="11" t="s">
        <v>46</v>
      </c>
      <c r="D258" s="13" t="str">
        <f t="shared" si="1"/>
        <v>SP</v>
      </c>
      <c r="E258" s="15" t="str">
        <f>IFERROR(VLOOKUP(Tabela1[[#This Row],[Nº Barra]],Parecer!$A$3:$F$70,5,FALSE), "Barramento ausente nos casos, porém ativo no SISBAR (sem carga e geração)")</f>
        <v>Barramento ausente nos casos, porém ativo no SISBAR (sem carga e geração)</v>
      </c>
      <c r="F258" s="5" t="str">
        <f>IFERROR(VLOOKUP(Tabela1[[#This Row],[Nº Barra]],Parecer!$A$3:$F$70,6,FALSE), "  ")</f>
        <v xml:space="preserve">  </v>
      </c>
    </row>
    <row r="259" spans="1:6" x14ac:dyDescent="0.25">
      <c r="A259" s="2">
        <v>44555</v>
      </c>
      <c r="B259" s="2" t="s">
        <v>391</v>
      </c>
      <c r="C259" s="11" t="s">
        <v>46</v>
      </c>
      <c r="D259" s="13" t="str">
        <f t="shared" si="1"/>
        <v>FV</v>
      </c>
      <c r="E259" s="15" t="str">
        <f>IFERROR(VLOOKUP(Tabela1[[#This Row],[Nº Barra]],Parecer!$A$3:$F$70,5,FALSE), "Barramento ausente nos casos, porém ativo no SISBAR (sem carga e geração)")</f>
        <v>Barramento ausente nos casos, porém ativo no SISBAR (sem carga e geração)</v>
      </c>
      <c r="F259" s="5" t="str">
        <f>IFERROR(VLOOKUP(Tabela1[[#This Row],[Nº Barra]],Parecer!$A$3:$F$70,6,FALSE), "  ")</f>
        <v xml:space="preserve">  </v>
      </c>
    </row>
    <row r="260" spans="1:6" x14ac:dyDescent="0.25">
      <c r="A260" s="2">
        <v>44556</v>
      </c>
      <c r="B260" s="2" t="s">
        <v>392</v>
      </c>
      <c r="C260" s="11" t="s">
        <v>46</v>
      </c>
      <c r="D260" s="13" t="str">
        <f t="shared" si="1"/>
        <v>RN</v>
      </c>
      <c r="E260" s="15" t="str">
        <f>IFERROR(VLOOKUP(Tabela1[[#This Row],[Nº Barra]],Parecer!$A$3:$F$70,5,FALSE), "Barramento ausente nos casos, porém ativo no SISBAR (sem carga e geração)")</f>
        <v>Barramento ausente nos casos, porém ativo no SISBAR (sem carga e geração)</v>
      </c>
      <c r="F260" s="5" t="str">
        <f>IFERROR(VLOOKUP(Tabela1[[#This Row],[Nº Barra]],Parecer!$A$3:$F$70,6,FALSE), "  ")</f>
        <v xml:space="preserve">  </v>
      </c>
    </row>
    <row r="261" spans="1:6" x14ac:dyDescent="0.25">
      <c r="A261" s="2">
        <v>44557</v>
      </c>
      <c r="B261" s="2" t="s">
        <v>393</v>
      </c>
      <c r="C261" s="11" t="s">
        <v>46</v>
      </c>
      <c r="D261" s="13" t="str">
        <f t="shared" si="1"/>
        <v>RN</v>
      </c>
      <c r="E261" s="15" t="str">
        <f>IFERROR(VLOOKUP(Tabela1[[#This Row],[Nº Barra]],Parecer!$A$3:$F$70,5,FALSE), "Barramento ausente nos casos, porém ativo no SISBAR (sem carga e geração)")</f>
        <v>Barramento ausente nos casos, porém ativo no SISBAR (sem carga e geração)</v>
      </c>
      <c r="F261" s="5" t="str">
        <f>IFERROR(VLOOKUP(Tabela1[[#This Row],[Nº Barra]],Parecer!$A$3:$F$70,6,FALSE), "  ")</f>
        <v xml:space="preserve">  </v>
      </c>
    </row>
    <row r="262" spans="1:6" x14ac:dyDescent="0.25">
      <c r="A262" s="2">
        <v>44605</v>
      </c>
      <c r="B262" s="2" t="s">
        <v>394</v>
      </c>
      <c r="C262" s="11" t="s">
        <v>46</v>
      </c>
      <c r="D262" s="13" t="str">
        <f t="shared" si="1"/>
        <v>BA</v>
      </c>
      <c r="E262" s="15" t="str">
        <f>IFERROR(VLOOKUP(Tabela1[[#This Row],[Nº Barra]],Parecer!$A$3:$F$70,5,FALSE), "Barramento ausente nos casos, porém ativo no SISBAR (sem carga e geração)")</f>
        <v>Barramento ausente nos casos, porém ativo no SISBAR (sem carga e geração)</v>
      </c>
      <c r="F262" s="5" t="str">
        <f>IFERROR(VLOOKUP(Tabela1[[#This Row],[Nº Barra]],Parecer!$A$3:$F$70,6,FALSE), "  ")</f>
        <v xml:space="preserve">  </v>
      </c>
    </row>
    <row r="263" spans="1:6" x14ac:dyDescent="0.25">
      <c r="A263" s="2">
        <v>44606</v>
      </c>
      <c r="B263" s="2" t="s">
        <v>395</v>
      </c>
      <c r="C263" s="11" t="s">
        <v>46</v>
      </c>
      <c r="D263" s="13" t="str">
        <f t="shared" si="1"/>
        <v>OL</v>
      </c>
      <c r="E263" s="15" t="str">
        <f>IFERROR(VLOOKUP(Tabela1[[#This Row],[Nº Barra]],Parecer!$A$3:$F$70,5,FALSE), "Barramento ausente nos casos, porém ativo no SISBAR (sem carga e geração)")</f>
        <v>Barramento ausente nos casos, porém ativo no SISBAR (sem carga e geração)</v>
      </c>
      <c r="F263" s="5" t="str">
        <f>IFERROR(VLOOKUP(Tabela1[[#This Row],[Nº Barra]],Parecer!$A$3:$F$70,6,FALSE), "  ")</f>
        <v xml:space="preserve">  </v>
      </c>
    </row>
    <row r="264" spans="1:6" x14ac:dyDescent="0.25">
      <c r="A264" s="2">
        <v>44677</v>
      </c>
      <c r="B264" s="2" t="s">
        <v>396</v>
      </c>
      <c r="C264" s="11" t="s">
        <v>46</v>
      </c>
      <c r="D264" s="13" t="str">
        <f t="shared" si="1"/>
        <v>SE</v>
      </c>
      <c r="E264" s="15" t="str">
        <f>IFERROR(VLOOKUP(Tabela1[[#This Row],[Nº Barra]],Parecer!$A$3:$F$70,5,FALSE), "Barramento ausente nos casos, porém ativo no SISBAR (sem carga e geração)")</f>
        <v>Barramento ausente nos casos, porém ativo no SISBAR (sem carga e geração)</v>
      </c>
      <c r="F264" s="5" t="str">
        <f>IFERROR(VLOOKUP(Tabela1[[#This Row],[Nº Barra]],Parecer!$A$3:$F$70,6,FALSE), "  ")</f>
        <v xml:space="preserve">  </v>
      </c>
    </row>
    <row r="265" spans="1:6" x14ac:dyDescent="0.25">
      <c r="A265" s="2">
        <v>44681</v>
      </c>
      <c r="B265" s="2" t="s">
        <v>397</v>
      </c>
      <c r="C265" s="11" t="s">
        <v>46</v>
      </c>
      <c r="D265" s="13" t="str">
        <f t="shared" si="1"/>
        <v>BA</v>
      </c>
      <c r="E265" s="15" t="str">
        <f>IFERROR(VLOOKUP(Tabela1[[#This Row],[Nº Barra]],Parecer!$A$3:$F$70,5,FALSE), "Barramento ausente nos casos, porém ativo no SISBAR (sem carga e geração)")</f>
        <v>Barramento ausente nos casos, porém ativo no SISBAR (sem carga e geração)</v>
      </c>
      <c r="F265" s="5" t="str">
        <f>IFERROR(VLOOKUP(Tabela1[[#This Row],[Nº Barra]],Parecer!$A$3:$F$70,6,FALSE), "  ")</f>
        <v xml:space="preserve">  </v>
      </c>
    </row>
    <row r="266" spans="1:6" x14ac:dyDescent="0.25">
      <c r="A266" s="2">
        <v>44686</v>
      </c>
      <c r="B266" s="2" t="s">
        <v>398</v>
      </c>
      <c r="C266" s="11" t="s">
        <v>46</v>
      </c>
      <c r="D266" s="13" t="str">
        <f t="shared" si="1"/>
        <v>OL</v>
      </c>
      <c r="E266" s="15" t="str">
        <f>IFERROR(VLOOKUP(Tabela1[[#This Row],[Nº Barra]],Parecer!$A$3:$F$70,5,FALSE), "Barramento ausente nos casos, porém ativo no SISBAR (sem carga e geração)")</f>
        <v>Barramento ausente nos casos, porém ativo no SISBAR (sem carga e geração)</v>
      </c>
      <c r="F266" s="5" t="str">
        <f>IFERROR(VLOOKUP(Tabela1[[#This Row],[Nº Barra]],Parecer!$A$3:$F$70,6,FALSE), "  ")</f>
        <v xml:space="preserve">  </v>
      </c>
    </row>
    <row r="267" spans="1:6" x14ac:dyDescent="0.25">
      <c r="A267" s="2">
        <v>45062</v>
      </c>
      <c r="B267" s="2" t="s">
        <v>399</v>
      </c>
      <c r="C267" s="11" t="s">
        <v>49</v>
      </c>
      <c r="D267" s="13" t="str">
        <f t="shared" si="1"/>
        <v>MG</v>
      </c>
      <c r="E267" s="15" t="str">
        <f>IFERROR(VLOOKUP(Tabela1[[#This Row],[Nº Barra]],Parecer!$A$3:$F$70,5,FALSE), "Barramento ausente nos casos, porém ativo no SISBAR (sem carga e geração)")</f>
        <v>Barramento ausente nos casos, porém ativo no SISBAR (sem carga e geração)</v>
      </c>
      <c r="F267" s="5" t="str">
        <f>IFERROR(VLOOKUP(Tabela1[[#This Row],[Nº Barra]],Parecer!$A$3:$F$70,6,FALSE), "  ")</f>
        <v xml:space="preserve">  </v>
      </c>
    </row>
    <row r="268" spans="1:6" x14ac:dyDescent="0.25">
      <c r="A268" s="2">
        <v>45107</v>
      </c>
      <c r="B268" s="2" t="s">
        <v>400</v>
      </c>
      <c r="C268" s="11" t="s">
        <v>46</v>
      </c>
      <c r="D268" s="13" t="str">
        <f t="shared" si="1"/>
        <v>PI</v>
      </c>
      <c r="E268" s="15" t="str">
        <f>IFERROR(VLOOKUP(Tabela1[[#This Row],[Nº Barra]],Parecer!$A$3:$F$70,5,FALSE), "Barramento ausente nos casos, porém ativo no SISBAR (sem carga e geração)")</f>
        <v>Barramento ausente nos casos, porém ativo no SISBAR (sem carga e geração)</v>
      </c>
      <c r="F268" s="5" t="str">
        <f>IFERROR(VLOOKUP(Tabela1[[#This Row],[Nº Barra]],Parecer!$A$3:$F$70,6,FALSE), "  ")</f>
        <v xml:space="preserve">  </v>
      </c>
    </row>
    <row r="269" spans="1:6" x14ac:dyDescent="0.25">
      <c r="A269" s="2">
        <v>45108</v>
      </c>
      <c r="B269" s="2" t="s">
        <v>401</v>
      </c>
      <c r="C269" s="11" t="s">
        <v>46</v>
      </c>
      <c r="D269" s="13" t="str">
        <f t="shared" si="1"/>
        <v>FV</v>
      </c>
      <c r="E269" s="15" t="str">
        <f>IFERROR(VLOOKUP(Tabela1[[#This Row],[Nº Barra]],Parecer!$A$3:$F$70,5,FALSE), "Barramento ausente nos casos, porém ativo no SISBAR (sem carga e geração)")</f>
        <v>Barramento ausente nos casos, porém ativo no SISBAR (sem carga e geração)</v>
      </c>
      <c r="F269" s="5" t="str">
        <f>IFERROR(VLOOKUP(Tabela1[[#This Row],[Nº Barra]],Parecer!$A$3:$F$70,6,FALSE), "  ")</f>
        <v xml:space="preserve">  </v>
      </c>
    </row>
    <row r="270" spans="1:6" x14ac:dyDescent="0.25">
      <c r="A270" s="2">
        <v>45109</v>
      </c>
      <c r="B270" s="2" t="s">
        <v>402</v>
      </c>
      <c r="C270" s="11" t="s">
        <v>46</v>
      </c>
      <c r="D270" s="13" t="str">
        <f t="shared" si="1"/>
        <v>PI</v>
      </c>
      <c r="E270" s="15" t="str">
        <f>IFERROR(VLOOKUP(Tabela1[[#This Row],[Nº Barra]],Parecer!$A$3:$F$70,5,FALSE), "Barramento ausente nos casos, porém ativo no SISBAR (sem carga e geração)")</f>
        <v>Barramento ausente nos casos, porém ativo no SISBAR (sem carga e geração)</v>
      </c>
      <c r="F270" s="5" t="str">
        <f>IFERROR(VLOOKUP(Tabela1[[#This Row],[Nº Barra]],Parecer!$A$3:$F$70,6,FALSE), "  ")</f>
        <v xml:space="preserve">  </v>
      </c>
    </row>
    <row r="271" spans="1:6" x14ac:dyDescent="0.25">
      <c r="A271" s="2">
        <v>45110</v>
      </c>
      <c r="B271" s="2" t="s">
        <v>403</v>
      </c>
      <c r="C271" s="11" t="s">
        <v>46</v>
      </c>
      <c r="D271" s="13" t="str">
        <f t="shared" si="1"/>
        <v>PI</v>
      </c>
      <c r="E271" s="15" t="str">
        <f>IFERROR(VLOOKUP(Tabela1[[#This Row],[Nº Barra]],Parecer!$A$3:$F$70,5,FALSE), "Barramento ausente nos casos, porém ativo no SISBAR (sem carga e geração)")</f>
        <v>Barramento ausente nos casos, porém ativo no SISBAR (sem carga e geração)</v>
      </c>
      <c r="F271" s="5" t="str">
        <f>IFERROR(VLOOKUP(Tabela1[[#This Row],[Nº Barra]],Parecer!$A$3:$F$70,6,FALSE), "  ")</f>
        <v xml:space="preserve">  </v>
      </c>
    </row>
    <row r="272" spans="1:6" x14ac:dyDescent="0.25">
      <c r="A272" s="2">
        <v>45254</v>
      </c>
      <c r="B272" s="2" t="s">
        <v>404</v>
      </c>
      <c r="C272" s="11" t="s">
        <v>47</v>
      </c>
      <c r="D272" s="13" t="str">
        <f t="shared" si="1"/>
        <v>RR</v>
      </c>
      <c r="E272" s="15" t="str">
        <f>IFERROR(VLOOKUP(Tabela1[[#This Row],[Nº Barra]],Parecer!$A$3:$F$70,5,FALSE), "Barramento ausente nos casos, porém ativo no SISBAR (sem carga e geração)")</f>
        <v>Barramento ausente nos casos, porém ativo no SISBAR (sem carga e geração)</v>
      </c>
      <c r="F272" s="5" t="str">
        <f>IFERROR(VLOOKUP(Tabela1[[#This Row],[Nº Barra]],Parecer!$A$3:$F$70,6,FALSE), "  ")</f>
        <v xml:space="preserve">  </v>
      </c>
    </row>
    <row r="273" spans="1:6" x14ac:dyDescent="0.25">
      <c r="A273" s="2">
        <v>45333</v>
      </c>
      <c r="B273" s="2" t="s">
        <v>405</v>
      </c>
      <c r="C273" s="11" t="s">
        <v>46</v>
      </c>
      <c r="D273" s="13" t="str">
        <f t="shared" si="1"/>
        <v>CE</v>
      </c>
      <c r="E273" s="15" t="str">
        <f>IFERROR(VLOOKUP(Tabela1[[#This Row],[Nº Barra]],Parecer!$A$3:$F$70,5,FALSE), "Barramento ausente nos casos, porém ativo no SISBAR (sem carga e geração)")</f>
        <v>Barramento ausente nos casos, porém ativo no SISBAR (sem carga e geração)</v>
      </c>
      <c r="F273" s="5" t="str">
        <f>IFERROR(VLOOKUP(Tabela1[[#This Row],[Nº Barra]],Parecer!$A$3:$F$70,6,FALSE), "  ")</f>
        <v xml:space="preserve">  </v>
      </c>
    </row>
    <row r="274" spans="1:6" x14ac:dyDescent="0.25">
      <c r="A274" s="2">
        <v>45334</v>
      </c>
      <c r="B274" s="2" t="s">
        <v>406</v>
      </c>
      <c r="C274" s="11" t="s">
        <v>46</v>
      </c>
      <c r="D274" s="13" t="str">
        <f t="shared" si="1"/>
        <v>CE</v>
      </c>
      <c r="E274" s="15" t="str">
        <f>IFERROR(VLOOKUP(Tabela1[[#This Row],[Nº Barra]],Parecer!$A$3:$F$70,5,FALSE), "Barramento ausente nos casos, porém ativo no SISBAR (sem carga e geração)")</f>
        <v>Barramento ausente nos casos, porém ativo no SISBAR (sem carga e geração)</v>
      </c>
      <c r="F274" s="5" t="str">
        <f>IFERROR(VLOOKUP(Tabela1[[#This Row],[Nº Barra]],Parecer!$A$3:$F$70,6,FALSE), "  ")</f>
        <v xml:space="preserve">  </v>
      </c>
    </row>
    <row r="275" spans="1:6" x14ac:dyDescent="0.25">
      <c r="A275" s="2">
        <v>45335</v>
      </c>
      <c r="B275" s="2" t="s">
        <v>407</v>
      </c>
      <c r="C275" s="11" t="s">
        <v>46</v>
      </c>
      <c r="D275" s="13" t="str">
        <f t="shared" si="1"/>
        <v>FV</v>
      </c>
      <c r="E275" s="15" t="str">
        <f>IFERROR(VLOOKUP(Tabela1[[#This Row],[Nº Barra]],Parecer!$A$3:$F$70,5,FALSE), "Barramento ausente nos casos, porém ativo no SISBAR (sem carga e geração)")</f>
        <v>Barramento ausente nos casos, porém ativo no SISBAR (sem carga e geração)</v>
      </c>
      <c r="F275" s="5" t="str">
        <f>IFERROR(VLOOKUP(Tabela1[[#This Row],[Nº Barra]],Parecer!$A$3:$F$70,6,FALSE), "  ")</f>
        <v xml:space="preserve">  </v>
      </c>
    </row>
    <row r="276" spans="1:6" x14ac:dyDescent="0.25">
      <c r="A276" s="2">
        <v>45435</v>
      </c>
      <c r="B276" s="2" t="s">
        <v>408</v>
      </c>
      <c r="C276" s="11" t="s">
        <v>409</v>
      </c>
      <c r="D276" s="13" t="str">
        <f t="shared" si="1"/>
        <v>SP</v>
      </c>
      <c r="E276" s="15" t="str">
        <f>IFERROR(VLOOKUP(Tabela1[[#This Row],[Nº Barra]],Parecer!$A$3:$F$70,5,FALSE), "Barramento ausente nos casos, porém ativo no SISBAR (sem carga e geração)")</f>
        <v>Barramento ausente nos casos, porém ativo no SISBAR (sem carga e geração)</v>
      </c>
      <c r="F276" s="5" t="str">
        <f>IFERROR(VLOOKUP(Tabela1[[#This Row],[Nº Barra]],Parecer!$A$3:$F$70,6,FALSE), "  ")</f>
        <v xml:space="preserve">  </v>
      </c>
    </row>
    <row r="277" spans="1:6" x14ac:dyDescent="0.25">
      <c r="A277" s="2">
        <v>45436</v>
      </c>
      <c r="B277" s="2" t="s">
        <v>410</v>
      </c>
      <c r="C277" s="11" t="s">
        <v>409</v>
      </c>
      <c r="D277" s="13" t="str">
        <f t="shared" si="1"/>
        <v>SP</v>
      </c>
      <c r="E277" s="15" t="str">
        <f>IFERROR(VLOOKUP(Tabela1[[#This Row],[Nº Barra]],Parecer!$A$3:$F$70,5,FALSE), "Barramento ausente nos casos, porém ativo no SISBAR (sem carga e geração)")</f>
        <v>Barramento ausente nos casos, porém ativo no SISBAR (sem carga e geração)</v>
      </c>
      <c r="F277" s="5" t="str">
        <f>IFERROR(VLOOKUP(Tabela1[[#This Row],[Nº Barra]],Parecer!$A$3:$F$70,6,FALSE), "  ")</f>
        <v xml:space="preserve">  </v>
      </c>
    </row>
    <row r="278" spans="1:6" x14ac:dyDescent="0.25">
      <c r="A278" s="2">
        <v>45472</v>
      </c>
      <c r="B278" s="2" t="s">
        <v>411</v>
      </c>
      <c r="C278" s="11" t="s">
        <v>46</v>
      </c>
      <c r="D278" s="13" t="str">
        <f t="shared" si="1"/>
        <v>BA</v>
      </c>
      <c r="E278" s="15" t="str">
        <f>IFERROR(VLOOKUP(Tabela1[[#This Row],[Nº Barra]],Parecer!$A$3:$F$70,5,FALSE), "Barramento ausente nos casos, porém ativo no SISBAR (sem carga e geração)")</f>
        <v>Barramento ausente nos casos, porém ativo no SISBAR (sem carga e geração)</v>
      </c>
      <c r="F278" s="5" t="str">
        <f>IFERROR(VLOOKUP(Tabela1[[#This Row],[Nº Barra]],Parecer!$A$3:$F$70,6,FALSE), "  ")</f>
        <v xml:space="preserve">  </v>
      </c>
    </row>
    <row r="279" spans="1:6" x14ac:dyDescent="0.25">
      <c r="A279" s="2">
        <v>45473</v>
      </c>
      <c r="B279" s="2" t="s">
        <v>412</v>
      </c>
      <c r="C279" s="11" t="s">
        <v>46</v>
      </c>
      <c r="D279" s="13" t="str">
        <f t="shared" si="1"/>
        <v>BA</v>
      </c>
      <c r="E279" s="15" t="str">
        <f>IFERROR(VLOOKUP(Tabela1[[#This Row],[Nº Barra]],Parecer!$A$3:$F$70,5,FALSE), "Barramento ausente nos casos, porém ativo no SISBAR (sem carga e geração)")</f>
        <v>Barramento ausente nos casos, porém ativo no SISBAR (sem carga e geração)</v>
      </c>
      <c r="F279" s="5" t="str">
        <f>IFERROR(VLOOKUP(Tabela1[[#This Row],[Nº Barra]],Parecer!$A$3:$F$70,6,FALSE), "  ")</f>
        <v xml:space="preserve">  </v>
      </c>
    </row>
    <row r="280" spans="1:6" x14ac:dyDescent="0.25">
      <c r="A280" s="2">
        <v>45474</v>
      </c>
      <c r="B280" s="2" t="s">
        <v>413</v>
      </c>
      <c r="C280" s="11" t="s">
        <v>46</v>
      </c>
      <c r="D280" s="13" t="str">
        <f t="shared" si="1"/>
        <v>FV</v>
      </c>
      <c r="E280" s="15" t="str">
        <f>IFERROR(VLOOKUP(Tabela1[[#This Row],[Nº Barra]],Parecer!$A$3:$F$70,5,FALSE), "Barramento ausente nos casos, porém ativo no SISBAR (sem carga e geração)")</f>
        <v>Barramento ausente nos casos, porém ativo no SISBAR (sem carga e geração)</v>
      </c>
      <c r="F280" s="5" t="str">
        <f>IFERROR(VLOOKUP(Tabela1[[#This Row],[Nº Barra]],Parecer!$A$3:$F$70,6,FALSE), "  ")</f>
        <v xml:space="preserve">  </v>
      </c>
    </row>
    <row r="281" spans="1:6" x14ac:dyDescent="0.25">
      <c r="A281" s="2">
        <v>45482</v>
      </c>
      <c r="B281" s="2" t="s">
        <v>414</v>
      </c>
      <c r="C281" s="11" t="s">
        <v>49</v>
      </c>
      <c r="D281" s="13" t="str">
        <f t="shared" si="1"/>
        <v>MG</v>
      </c>
      <c r="E281" s="15" t="str">
        <f>IFERROR(VLOOKUP(Tabela1[[#This Row],[Nº Barra]],Parecer!$A$3:$F$70,5,FALSE), "Barramento ausente nos casos, porém ativo no SISBAR (sem carga e geração)")</f>
        <v>Barramento ausente nos casos, porém ativo no SISBAR (sem carga e geração)</v>
      </c>
      <c r="F281" s="5" t="str">
        <f>IFERROR(VLOOKUP(Tabela1[[#This Row],[Nº Barra]],Parecer!$A$3:$F$70,6,FALSE), "  ")</f>
        <v xml:space="preserve">  </v>
      </c>
    </row>
    <row r="282" spans="1:6" x14ac:dyDescent="0.25">
      <c r="A282" s="2">
        <v>45486</v>
      </c>
      <c r="B282" s="2" t="s">
        <v>415</v>
      </c>
      <c r="C282" s="11" t="s">
        <v>49</v>
      </c>
      <c r="D282" s="13" t="str">
        <f t="shared" si="1"/>
        <v>MG</v>
      </c>
      <c r="E282" s="15" t="str">
        <f>IFERROR(VLOOKUP(Tabela1[[#This Row],[Nº Barra]],Parecer!$A$3:$F$70,5,FALSE), "Barramento ausente nos casos, porém ativo no SISBAR (sem carga e geração)")</f>
        <v>Barramento ausente nos casos, porém ativo no SISBAR (sem carga e geração)</v>
      </c>
      <c r="F282" s="5" t="str">
        <f>IFERROR(VLOOKUP(Tabela1[[#This Row],[Nº Barra]],Parecer!$A$3:$F$70,6,FALSE), "  ")</f>
        <v xml:space="preserve">  </v>
      </c>
    </row>
    <row r="283" spans="1:6" x14ac:dyDescent="0.25">
      <c r="A283" s="2">
        <v>45487</v>
      </c>
      <c r="B283" s="2" t="s">
        <v>416</v>
      </c>
      <c r="C283" s="11" t="s">
        <v>49</v>
      </c>
      <c r="D283" s="13" t="str">
        <f t="shared" si="1"/>
        <v>FV</v>
      </c>
      <c r="E283" s="15" t="str">
        <f>IFERROR(VLOOKUP(Tabela1[[#This Row],[Nº Barra]],Parecer!$A$3:$F$70,5,FALSE), "Barramento ausente nos casos, porém ativo no SISBAR (sem carga e geração)")</f>
        <v>Barramento ausente nos casos, porém ativo no SISBAR (sem carga e geração)</v>
      </c>
      <c r="F283" s="5" t="str">
        <f>IFERROR(VLOOKUP(Tabela1[[#This Row],[Nº Barra]],Parecer!$A$3:$F$70,6,FALSE), "  ")</f>
        <v xml:space="preserve">  </v>
      </c>
    </row>
    <row r="284" spans="1:6" x14ac:dyDescent="0.25">
      <c r="A284" s="2">
        <v>45583</v>
      </c>
      <c r="B284" s="2" t="s">
        <v>417</v>
      </c>
      <c r="C284" s="11" t="s">
        <v>46</v>
      </c>
      <c r="D284" s="13" t="str">
        <f t="shared" si="1"/>
        <v>PI</v>
      </c>
      <c r="E284" s="15" t="str">
        <f>IFERROR(VLOOKUP(Tabela1[[#This Row],[Nº Barra]],Parecer!$A$3:$F$70,5,FALSE), "Barramento ausente nos casos, porém ativo no SISBAR (sem carga e geração)")</f>
        <v>Barramento ausente nos casos, porém ativo no SISBAR (sem carga e geração)</v>
      </c>
      <c r="F284" s="5"/>
    </row>
    <row r="285" spans="1:6" x14ac:dyDescent="0.25">
      <c r="A285" s="2">
        <v>45584</v>
      </c>
      <c r="B285" s="2" t="s">
        <v>418</v>
      </c>
      <c r="C285" s="11" t="s">
        <v>46</v>
      </c>
      <c r="D285" s="13" t="str">
        <f t="shared" si="1"/>
        <v>PI</v>
      </c>
      <c r="E285" s="15" t="str">
        <f>IFERROR(VLOOKUP(Tabela1[[#This Row],[Nº Barra]],Parecer!$A$3:$F$70,5,FALSE), "Barramento ausente nos casos, porém ativo no SISBAR (sem carga e geração)")</f>
        <v>Barramento ausente nos casos, porém ativo no SISBAR (sem carga e geração)</v>
      </c>
      <c r="F285" s="5"/>
    </row>
    <row r="286" spans="1:6" x14ac:dyDescent="0.25">
      <c r="A286" s="2">
        <v>45585</v>
      </c>
      <c r="B286" s="2" t="s">
        <v>419</v>
      </c>
      <c r="C286" s="11" t="s">
        <v>46</v>
      </c>
      <c r="D286" s="13" t="str">
        <f t="shared" si="1"/>
        <v>FV</v>
      </c>
      <c r="E286" s="15" t="str">
        <f>IFERROR(VLOOKUP(Tabela1[[#This Row],[Nº Barra]],Parecer!$A$3:$F$70,5,FALSE), "Barramento ausente nos casos, porém ativo no SISBAR (sem carga e geração)")</f>
        <v>Barramento ausente nos casos, porém ativo no SISBAR (sem carga e geração)</v>
      </c>
      <c r="F286" s="5"/>
    </row>
    <row r="287" spans="1:6" x14ac:dyDescent="0.25">
      <c r="A287" s="2">
        <v>45673</v>
      </c>
      <c r="B287" s="2" t="s">
        <v>93</v>
      </c>
      <c r="C287" s="11" t="s">
        <v>46</v>
      </c>
      <c r="D287" s="13" t="str">
        <f t="shared" si="1"/>
        <v>GO</v>
      </c>
      <c r="E287" s="15" t="str">
        <f>IFERROR(VLOOKUP(Tabela1[[#This Row],[Nº Barra]],Parecer!$A$3:$F$70,5,FALSE), "Barramento ausente nos casos, porém ativo no SISBAR (sem carga e geração)")</f>
        <v>Barramento ausente nos casos, porém ativo no SISBAR (sem carga e geração)</v>
      </c>
      <c r="F287" s="5"/>
    </row>
    <row r="288" spans="1:6" x14ac:dyDescent="0.25">
      <c r="A288" s="2">
        <v>45674</v>
      </c>
      <c r="B288" s="2" t="s">
        <v>95</v>
      </c>
      <c r="C288" s="11" t="s">
        <v>46</v>
      </c>
      <c r="D288" s="13" t="str">
        <f t="shared" si="1"/>
        <v>GO</v>
      </c>
      <c r="E288" s="15" t="str">
        <f>IFERROR(VLOOKUP(Tabela1[[#This Row],[Nº Barra]],Parecer!$A$3:$F$70,5,FALSE), "Barramento ausente nos casos, porém ativo no SISBAR (sem carga e geração)")</f>
        <v>Barramento ausente nos casos, porém ativo no SISBAR (sem carga e geração)</v>
      </c>
      <c r="F288" s="5"/>
    </row>
    <row r="289" spans="1:6" x14ac:dyDescent="0.25">
      <c r="A289" s="2">
        <v>45896</v>
      </c>
      <c r="B289" s="2" t="s">
        <v>420</v>
      </c>
      <c r="C289" s="11" t="s">
        <v>46</v>
      </c>
      <c r="D289" s="13" t="str">
        <f t="shared" si="1"/>
        <v>SP</v>
      </c>
      <c r="E289" s="15" t="str">
        <f>IFERROR(VLOOKUP(Tabela1[[#This Row],[Nº Barra]],Parecer!$A$3:$F$70,5,FALSE), "Barramento ausente nos casos, porém ativo no SISBAR (sem carga e geração)")</f>
        <v>Barramento ausente nos casos, porém ativo no SISBAR (sem carga e geração)</v>
      </c>
      <c r="F289" s="5"/>
    </row>
    <row r="290" spans="1:6" x14ac:dyDescent="0.25">
      <c r="A290" s="2">
        <v>45897</v>
      </c>
      <c r="B290" s="2" t="s">
        <v>421</v>
      </c>
      <c r="C290" s="11" t="s">
        <v>46</v>
      </c>
      <c r="D290" s="13" t="str">
        <f t="shared" si="1"/>
        <v>SP</v>
      </c>
      <c r="E290" s="15" t="str">
        <f>IFERROR(VLOOKUP(Tabela1[[#This Row],[Nº Barra]],Parecer!$A$3:$F$70,5,FALSE), "Barramento ausente nos casos, porém ativo no SISBAR (sem carga e geração)")</f>
        <v>Barramento ausente nos casos, porém ativo no SISBAR (sem carga e geração)</v>
      </c>
      <c r="F290" s="5"/>
    </row>
    <row r="291" spans="1:6" x14ac:dyDescent="0.25">
      <c r="A291" s="2">
        <v>46363</v>
      </c>
      <c r="B291" s="2" t="s">
        <v>422</v>
      </c>
      <c r="C291" s="11" t="s">
        <v>46</v>
      </c>
      <c r="D291" s="13" t="str">
        <f t="shared" si="1"/>
        <v>RJ</v>
      </c>
      <c r="E291" s="15" t="str">
        <f>IFERROR(VLOOKUP(Tabela1[[#This Row],[Nº Barra]],Parecer!$A$3:$F$70,5,FALSE), "Barramento ausente nos casos, porém ativo no SISBAR (sem carga e geração)")</f>
        <v>Barramento ausente nos casos, porém ativo no SISBAR (sem carga e geração)</v>
      </c>
      <c r="F291" s="5" t="str">
        <f>IFERROR(VLOOKUP(Tabela1[[#This Row],[Nº Barra]],Parecer!$A$3:$F$70,6,FALSE), "  ")</f>
        <v xml:space="preserve">  </v>
      </c>
    </row>
    <row r="292" spans="1:6" x14ac:dyDescent="0.25">
      <c r="A292" s="2">
        <v>46364</v>
      </c>
      <c r="B292" s="2" t="s">
        <v>423</v>
      </c>
      <c r="C292" s="11" t="s">
        <v>46</v>
      </c>
      <c r="D292" s="13" t="str">
        <f t="shared" si="1"/>
        <v>RJ</v>
      </c>
      <c r="E292" s="15" t="str">
        <f>IFERROR(VLOOKUP(Tabela1[[#This Row],[Nº Barra]],Parecer!$A$3:$F$70,5,FALSE), "Barramento ausente nos casos, porém ativo no SISBAR (sem carga e geração)")</f>
        <v>Barramento ausente nos casos, porém ativo no SISBAR (sem carga e geração)</v>
      </c>
      <c r="F292" s="5" t="str">
        <f>IFERROR(VLOOKUP(Tabela1[[#This Row],[Nº Barra]],Parecer!$A$3:$F$70,6,FALSE), "  ")</f>
        <v xml:space="preserve">  </v>
      </c>
    </row>
    <row r="293" spans="1:6" x14ac:dyDescent="0.25">
      <c r="A293" s="2">
        <v>46396</v>
      </c>
      <c r="B293" s="2" t="s">
        <v>424</v>
      </c>
      <c r="C293" s="11" t="s">
        <v>49</v>
      </c>
      <c r="D293" s="13" t="str">
        <f t="shared" si="1"/>
        <v>MG</v>
      </c>
      <c r="E293" s="15" t="str">
        <f>IFERROR(VLOOKUP(Tabela1[[#This Row],[Nº Barra]],Parecer!$A$3:$F$70,5,FALSE), "Barramento ausente nos casos, porém ativo no SISBAR (sem carga e geração)")</f>
        <v>Barramento ausente nos casos, porém ativo no SISBAR (sem carga e geração)</v>
      </c>
      <c r="F293" s="5" t="str">
        <f>IFERROR(VLOOKUP(Tabela1[[#This Row],[Nº Barra]],Parecer!$A$3:$F$70,6,FALSE), "  ")</f>
        <v xml:space="preserve">  </v>
      </c>
    </row>
    <row r="294" spans="1:6" x14ac:dyDescent="0.25">
      <c r="A294" s="2">
        <v>46679</v>
      </c>
      <c r="B294" s="2" t="s">
        <v>138</v>
      </c>
      <c r="C294" s="11" t="s">
        <v>46</v>
      </c>
      <c r="D294" s="13" t="str">
        <f t="shared" si="1"/>
        <v>RJ</v>
      </c>
      <c r="E294" s="15" t="str">
        <f>IFERROR(VLOOKUP(Tabela1[[#This Row],[Nº Barra]],Parecer!$A$3:$F$70,5,FALSE), "Barramento ausente nos casos, porém ativo no SISBAR (sem carga e geração)")</f>
        <v>Barramento ausente nos casos, porém ativo no SISBAR (sem carga e geração)</v>
      </c>
      <c r="F294" s="5" t="str">
        <f>IFERROR(VLOOKUP(Tabela1[[#This Row],[Nº Barra]],Parecer!$A$3:$F$70,6,FALSE), "  ")</f>
        <v xml:space="preserve">Barra que será inclusa no futuro (fora do horizonte do mensal) </v>
      </c>
    </row>
    <row r="295" spans="1:6" x14ac:dyDescent="0.25">
      <c r="A295" s="2">
        <v>46815</v>
      </c>
      <c r="B295" s="2" t="s">
        <v>165</v>
      </c>
      <c r="C295" s="11" t="s">
        <v>46</v>
      </c>
      <c r="D295" s="13" t="str">
        <f t="shared" si="1"/>
        <v>SP</v>
      </c>
      <c r="E295" s="15" t="str">
        <f>IFERROR(VLOOKUP(Tabela1[[#This Row],[Nº Barra]],Parecer!$A$3:$F$70,5,FALSE), "Barramento ausente nos casos, porém ativo no SISBAR (sem carga e geração)")</f>
        <v>Barramento ausente nos casos, porém ativo no SISBAR (sem carga e geração)</v>
      </c>
      <c r="F295" s="5"/>
    </row>
    <row r="296" spans="1:6" x14ac:dyDescent="0.25">
      <c r="A296" s="2">
        <v>46816</v>
      </c>
      <c r="B296" s="2" t="s">
        <v>166</v>
      </c>
      <c r="C296" s="11" t="s">
        <v>46</v>
      </c>
      <c r="D296" s="13" t="str">
        <f t="shared" si="1"/>
        <v>SP</v>
      </c>
      <c r="E296" s="15" t="str">
        <f>IFERROR(VLOOKUP(Tabela1[[#This Row],[Nº Barra]],Parecer!$A$3:$F$70,5,FALSE), "Barramento ausente nos casos, porém ativo no SISBAR (sem carga e geração)")</f>
        <v>Barramento ausente nos casos, porém ativo no SISBAR (sem carga e geração)</v>
      </c>
      <c r="F296" s="5"/>
    </row>
    <row r="297" spans="1:6" x14ac:dyDescent="0.25">
      <c r="A297" s="2">
        <v>46817</v>
      </c>
      <c r="B297" s="2" t="s">
        <v>167</v>
      </c>
      <c r="C297" s="11" t="s">
        <v>46</v>
      </c>
      <c r="D297" s="13" t="str">
        <f t="shared" si="1"/>
        <v>SP</v>
      </c>
      <c r="E297" s="15" t="str">
        <f>IFERROR(VLOOKUP(Tabela1[[#This Row],[Nº Barra]],Parecer!$A$3:$F$70,5,FALSE), "Barramento ausente nos casos, porém ativo no SISBAR (sem carga e geração)")</f>
        <v>Barramento ausente nos casos, porém ativo no SISBAR (sem carga e geração)</v>
      </c>
      <c r="F297" s="5"/>
    </row>
    <row r="298" spans="1:6" x14ac:dyDescent="0.25">
      <c r="A298" s="2">
        <v>46818</v>
      </c>
      <c r="B298" s="2" t="s">
        <v>168</v>
      </c>
      <c r="C298" s="11" t="s">
        <v>46</v>
      </c>
      <c r="D298" s="13" t="str">
        <f t="shared" si="1"/>
        <v>SP</v>
      </c>
      <c r="E298" s="15" t="str">
        <f>IFERROR(VLOOKUP(Tabela1[[#This Row],[Nº Barra]],Parecer!$A$3:$F$70,5,FALSE), "Barramento ausente nos casos, porém ativo no SISBAR (sem carga e geração)")</f>
        <v>Barramento ausente nos casos, porém ativo no SISBAR (sem carga e geração)</v>
      </c>
      <c r="F298" s="5"/>
    </row>
    <row r="299" spans="1:6" x14ac:dyDescent="0.25">
      <c r="A299" s="2">
        <v>47231</v>
      </c>
      <c r="B299" s="2" t="s">
        <v>425</v>
      </c>
      <c r="C299" s="11" t="s">
        <v>46</v>
      </c>
      <c r="D299" s="13" t="str">
        <f t="shared" si="1"/>
        <v>IN</v>
      </c>
      <c r="E299" s="15" t="str">
        <f>IFERROR(VLOOKUP(Tabela1[[#This Row],[Nº Barra]],Parecer!$A$3:$F$70,5,FALSE), "Barramento ausente nos casos, porém ativo no SISBAR (sem carga e geração)")</f>
        <v>Barramento ausente nos casos, porém ativo no SISBAR (sem carga e geração)</v>
      </c>
      <c r="F299" s="5"/>
    </row>
    <row r="300" spans="1:6" x14ac:dyDescent="0.25">
      <c r="A300" s="2">
        <v>47270</v>
      </c>
      <c r="B300" s="2" t="s">
        <v>426</v>
      </c>
      <c r="C300" s="11" t="s">
        <v>46</v>
      </c>
      <c r="D300" s="13" t="str">
        <f t="shared" si="1"/>
        <v>HE</v>
      </c>
      <c r="E300" s="15" t="str">
        <f>IFERROR(VLOOKUP(Tabela1[[#This Row],[Nº Barra]],Parecer!$A$3:$F$70,5,FALSE), "Barramento ausente nos casos, porém ativo no SISBAR (sem carga e geração)")</f>
        <v>Barramento ausente nos casos, porém ativo no SISBAR (sem carga e geração)</v>
      </c>
      <c r="F300" s="5"/>
    </row>
    <row r="301" spans="1:6" x14ac:dyDescent="0.25">
      <c r="A301" s="2">
        <v>47271</v>
      </c>
      <c r="B301" s="2" t="s">
        <v>427</v>
      </c>
      <c r="C301" s="11" t="s">
        <v>46</v>
      </c>
      <c r="D301" s="13" t="str">
        <f t="shared" si="1"/>
        <v>HE</v>
      </c>
      <c r="E301" s="15" t="str">
        <f>IFERROR(VLOOKUP(Tabela1[[#This Row],[Nº Barra]],Parecer!$A$3:$F$70,5,FALSE), "Barramento ausente nos casos, porém ativo no SISBAR (sem carga e geração)")</f>
        <v>Barramento ausente nos casos, porém ativo no SISBAR (sem carga e geração)</v>
      </c>
      <c r="F301" s="5"/>
    </row>
    <row r="302" spans="1:6" x14ac:dyDescent="0.25">
      <c r="A302" s="2">
        <v>47386</v>
      </c>
      <c r="B302" s="2" t="s">
        <v>175</v>
      </c>
      <c r="C302" s="11" t="s">
        <v>176</v>
      </c>
      <c r="D302" s="13" t="str">
        <f t="shared" si="1"/>
        <v>SP</v>
      </c>
      <c r="E302" s="15" t="str">
        <f>IFERROR(VLOOKUP(Tabela1[[#This Row],[Nº Barra]],Parecer!$A$3:$F$70,5,FALSE), "Barramento ausente nos casos, porém ativo no SISBAR (sem carga e geração)")</f>
        <v>Barramento ausente nos casos, porém ativo no SISBAR (sem carga e geração)</v>
      </c>
      <c r="F302" s="5"/>
    </row>
    <row r="303" spans="1:6" x14ac:dyDescent="0.25">
      <c r="A303" s="2">
        <v>47387</v>
      </c>
      <c r="B303" s="2" t="s">
        <v>177</v>
      </c>
      <c r="C303" s="11" t="s">
        <v>176</v>
      </c>
      <c r="D303" s="13" t="str">
        <f t="shared" si="1"/>
        <v>SP</v>
      </c>
      <c r="E303" s="15" t="str">
        <f>IFERROR(VLOOKUP(Tabela1[[#This Row],[Nº Barra]],Parecer!$A$3:$F$70,5,FALSE), "Barramento ausente nos casos, porém ativo no SISBAR (sem carga e geração)")</f>
        <v>Barramento ausente nos casos, porém ativo no SISBAR (sem carga e geração)</v>
      </c>
      <c r="F303" s="5"/>
    </row>
    <row r="304" spans="1:6" x14ac:dyDescent="0.25">
      <c r="A304" s="2">
        <v>47413</v>
      </c>
      <c r="B304" s="2" t="s">
        <v>96</v>
      </c>
      <c r="C304" s="11" t="s">
        <v>46</v>
      </c>
      <c r="D304" s="13" t="str">
        <f t="shared" si="1"/>
        <v>GO</v>
      </c>
      <c r="E304" s="15" t="str">
        <f>IFERROR(VLOOKUP(Tabela1[[#This Row],[Nº Barra]],Parecer!$A$3:$F$70,5,FALSE), "Barramento ausente nos casos, porém ativo no SISBAR (sem carga e geração)")</f>
        <v>Barramento ausente nos casos, porém ativo no SISBAR (sem carga e geração)</v>
      </c>
      <c r="F304" s="5"/>
    </row>
    <row r="305" spans="1:6" x14ac:dyDescent="0.25">
      <c r="A305" s="2">
        <v>47414</v>
      </c>
      <c r="B305" s="2" t="s">
        <v>97</v>
      </c>
      <c r="C305" s="11" t="s">
        <v>46</v>
      </c>
      <c r="D305" s="13" t="str">
        <f t="shared" si="1"/>
        <v>GO</v>
      </c>
      <c r="E305" s="15" t="str">
        <f>IFERROR(VLOOKUP(Tabela1[[#This Row],[Nº Barra]],Parecer!$A$3:$F$70,5,FALSE), "Barramento ausente nos casos, porém ativo no SISBAR (sem carga e geração)")</f>
        <v>Barramento ausente nos casos, porém ativo no SISBAR (sem carga e geração)</v>
      </c>
      <c r="F305" s="5"/>
    </row>
    <row r="306" spans="1:6" x14ac:dyDescent="0.25">
      <c r="A306" s="2">
        <v>47840</v>
      </c>
      <c r="B306" s="2" t="s">
        <v>140</v>
      </c>
      <c r="C306" s="11" t="s">
        <v>46</v>
      </c>
      <c r="D306" s="13" t="str">
        <f t="shared" si="1"/>
        <v>RJ</v>
      </c>
      <c r="E306" s="15" t="str">
        <f>IFERROR(VLOOKUP(Tabela1[[#This Row],[Nº Barra]],Parecer!$A$3:$F$70,5,FALSE), "Barramento ausente nos casos, porém ativo no SISBAR (sem carga e geração)")</f>
        <v>Barramento ausente nos casos, porém ativo no SISBAR (sem carga e geração)</v>
      </c>
      <c r="F306" s="5" t="str">
        <f>IFERROR(VLOOKUP(Tabela1[[#This Row],[Nº Barra]],Parecer!$A$3:$F$70,6,FALSE), "  ")</f>
        <v xml:space="preserve">Barra que será inclusa no futuro (fora do horizonte do mensal) </v>
      </c>
    </row>
    <row r="307" spans="1:6" x14ac:dyDescent="0.25">
      <c r="A307" s="2">
        <v>47841</v>
      </c>
      <c r="B307" s="2" t="s">
        <v>141</v>
      </c>
      <c r="C307" s="11" t="s">
        <v>46</v>
      </c>
      <c r="D307" s="13" t="str">
        <f t="shared" si="1"/>
        <v>RJ</v>
      </c>
      <c r="E307" s="15" t="str">
        <f>IFERROR(VLOOKUP(Tabela1[[#This Row],[Nº Barra]],Parecer!$A$3:$F$70,5,FALSE), "Barramento ausente nos casos, porém ativo no SISBAR (sem carga e geração)")</f>
        <v>Barramento ausente nos casos, porém ativo no SISBAR (sem carga e geração)</v>
      </c>
      <c r="F307" s="5" t="str">
        <f>IFERROR(VLOOKUP(Tabela1[[#This Row],[Nº Barra]],Parecer!$A$3:$F$70,6,FALSE), "  ")</f>
        <v xml:space="preserve">Barra que será inclusa no futuro (fora do horizonte do mensal) </v>
      </c>
    </row>
    <row r="308" spans="1:6" x14ac:dyDescent="0.25">
      <c r="A308" s="2">
        <v>47844</v>
      </c>
      <c r="B308" s="2" t="s">
        <v>142</v>
      </c>
      <c r="C308" s="11" t="s">
        <v>46</v>
      </c>
      <c r="D308" s="13" t="str">
        <f t="shared" si="1"/>
        <v>RJ</v>
      </c>
      <c r="E308" s="15" t="str">
        <f>IFERROR(VLOOKUP(Tabela1[[#This Row],[Nº Barra]],Parecer!$A$3:$F$70,5,FALSE), "Barramento ausente nos casos, porém ativo no SISBAR (sem carga e geração)")</f>
        <v>Barramento ausente nos casos, porém ativo no SISBAR (sem carga e geração)</v>
      </c>
      <c r="F308" s="5" t="str">
        <f>IFERROR(VLOOKUP(Tabela1[[#This Row],[Nº Barra]],Parecer!$A$3:$F$70,6,FALSE), "  ")</f>
        <v xml:space="preserve">Barra que será inclusa no futuro (fora do horizonte do mensal) </v>
      </c>
    </row>
    <row r="309" spans="1:6" x14ac:dyDescent="0.25">
      <c r="A309" s="2">
        <v>47949</v>
      </c>
      <c r="B309" s="2" t="s">
        <v>169</v>
      </c>
      <c r="C309" s="11" t="s">
        <v>46</v>
      </c>
      <c r="D309" s="13" t="str">
        <f t="shared" si="1"/>
        <v>SP</v>
      </c>
      <c r="E309" s="15" t="str">
        <f>IFERROR(VLOOKUP(Tabela1[[#This Row],[Nº Barra]],Parecer!$A$3:$F$70,5,FALSE), "Barramento ausente nos casos, porém ativo no SISBAR (sem carga e geração)")</f>
        <v>Barramento ausente nos casos, porém ativo no SISBAR (sem carga e geração)</v>
      </c>
      <c r="F309" s="5"/>
    </row>
    <row r="310" spans="1:6" x14ac:dyDescent="0.25">
      <c r="A310" s="2">
        <v>47979</v>
      </c>
      <c r="B310" s="2" t="s">
        <v>428</v>
      </c>
      <c r="C310" s="11" t="s">
        <v>46</v>
      </c>
      <c r="D310" s="13" t="str">
        <f t="shared" si="1"/>
        <v>FV</v>
      </c>
      <c r="E310" s="15" t="str">
        <f>IFERROR(VLOOKUP(Tabela1[[#This Row],[Nº Barra]],Parecer!$A$3:$F$70,5,FALSE), "Barramento ausente nos casos, porém ativo no SISBAR (sem carga e geração)")</f>
        <v>Barramento ausente nos casos, porém ativo no SISBAR (sem carga e geração)</v>
      </c>
      <c r="F310" s="5"/>
    </row>
    <row r="311" spans="1:6" x14ac:dyDescent="0.25">
      <c r="A311" s="2">
        <v>47980</v>
      </c>
      <c r="B311" s="2" t="s">
        <v>429</v>
      </c>
      <c r="C311" s="11" t="s">
        <v>46</v>
      </c>
      <c r="D311" s="13" t="str">
        <f t="shared" si="1"/>
        <v>FV</v>
      </c>
      <c r="E311" s="15" t="str">
        <f>IFERROR(VLOOKUP(Tabela1[[#This Row],[Nº Barra]],Parecer!$A$3:$F$70,5,FALSE), "Barramento ausente nos casos, porém ativo no SISBAR (sem carga e geração)")</f>
        <v>Barramento ausente nos casos, porém ativo no SISBAR (sem carga e geração)</v>
      </c>
      <c r="F311" s="5"/>
    </row>
    <row r="312" spans="1:6" x14ac:dyDescent="0.25">
      <c r="A312" s="2">
        <v>48030</v>
      </c>
      <c r="B312" s="2" t="s">
        <v>170</v>
      </c>
      <c r="C312" s="11" t="s">
        <v>46</v>
      </c>
      <c r="D312" s="13" t="str">
        <f t="shared" si="1"/>
        <v>SP</v>
      </c>
      <c r="E312" s="15" t="str">
        <f>IFERROR(VLOOKUP(Tabela1[[#This Row],[Nº Barra]],Parecer!$A$3:$F$70,5,FALSE), "Barramento ausente nos casos, porém ativo no SISBAR (sem carga e geração)")</f>
        <v>Barramento ausente nos casos, porém ativo no SISBAR (sem carga e geração)</v>
      </c>
      <c r="F312" s="5"/>
    </row>
    <row r="313" spans="1:6" x14ac:dyDescent="0.25">
      <c r="A313" s="2">
        <v>48078</v>
      </c>
      <c r="B313" s="2" t="s">
        <v>132</v>
      </c>
      <c r="C313" s="11" t="s">
        <v>46</v>
      </c>
      <c r="D313" s="13" t="str">
        <f t="shared" si="1"/>
        <v>MT</v>
      </c>
      <c r="E313" s="15" t="str">
        <f>IFERROR(VLOOKUP(Tabela1[[#This Row],[Nº Barra]],Parecer!$A$3:$F$70,5,FALSE), "Barramento ausente nos casos, porém ativo no SISBAR (sem carga e geração)")</f>
        <v>Barramento ausente nos casos, porém ativo no SISBAR (sem carga e geração)</v>
      </c>
      <c r="F313" s="5"/>
    </row>
    <row r="314" spans="1:6" x14ac:dyDescent="0.25">
      <c r="A314" s="2">
        <v>48086</v>
      </c>
      <c r="B314" s="2" t="s">
        <v>430</v>
      </c>
      <c r="C314" s="11" t="s">
        <v>46</v>
      </c>
      <c r="D314" s="13" t="str">
        <f t="shared" si="1"/>
        <v>IN</v>
      </c>
      <c r="E314" s="15" t="str">
        <f>IFERROR(VLOOKUP(Tabela1[[#This Row],[Nº Barra]],Parecer!$A$3:$F$70,5,FALSE), "Barramento ausente nos casos, porém ativo no SISBAR (sem carga e geração)")</f>
        <v>Barramento ausente nos casos, porém ativo no SISBAR (sem carga e geração)</v>
      </c>
      <c r="F314" s="5" t="str">
        <f>IFERROR(VLOOKUP(Tabela1[[#This Row],[Nº Barra]],Parecer!$A$3:$F$70,6,FALSE), "  ")</f>
        <v xml:space="preserve">  </v>
      </c>
    </row>
    <row r="315" spans="1:6" x14ac:dyDescent="0.25">
      <c r="A315" s="2">
        <v>48182</v>
      </c>
      <c r="B315" s="2" t="s">
        <v>143</v>
      </c>
      <c r="C315" s="11" t="s">
        <v>46</v>
      </c>
      <c r="D315" s="13" t="str">
        <f t="shared" si="1"/>
        <v>RJ</v>
      </c>
      <c r="E315" s="15" t="str">
        <f>IFERROR(VLOOKUP(Tabela1[[#This Row],[Nº Barra]],Parecer!$A$3:$F$70,5,FALSE), "Barramento ausente nos casos, porém ativo no SISBAR (sem carga e geração)")</f>
        <v>Barramento ausente nos casos, porém ativo no SISBAR (sem carga e geração)</v>
      </c>
      <c r="F315" s="5" t="str">
        <f>IFERROR(VLOOKUP(Tabela1[[#This Row],[Nº Barra]],Parecer!$A$3:$F$70,6,FALSE), "  ")</f>
        <v xml:space="preserve">Barra que será inclusa no futuro (fora do horizonte do mensal) </v>
      </c>
    </row>
    <row r="316" spans="1:6" x14ac:dyDescent="0.25">
      <c r="A316" s="2">
        <v>48195</v>
      </c>
      <c r="B316" s="2" t="s">
        <v>171</v>
      </c>
      <c r="C316" s="11" t="s">
        <v>46</v>
      </c>
      <c r="D316" s="13" t="str">
        <f t="shared" si="1"/>
        <v>SP</v>
      </c>
      <c r="E316" s="15" t="str">
        <f>IFERROR(VLOOKUP(Tabela1[[#This Row],[Nº Barra]],Parecer!$A$3:$F$70,5,FALSE), "Barramento ausente nos casos, porém ativo no SISBAR (sem carga e geração)")</f>
        <v>Barramento ausente nos casos, porém ativo no SISBAR (sem carga e geração)</v>
      </c>
      <c r="F316" s="5"/>
    </row>
    <row r="317" spans="1:6" x14ac:dyDescent="0.25">
      <c r="A317" s="2">
        <v>48235</v>
      </c>
      <c r="B317" s="2" t="s">
        <v>431</v>
      </c>
      <c r="C317" s="11" t="s">
        <v>46</v>
      </c>
      <c r="D317" s="13" t="str">
        <f t="shared" si="1"/>
        <v>BA</v>
      </c>
      <c r="E317" s="15" t="str">
        <f>IFERROR(VLOOKUP(Tabela1[[#This Row],[Nº Barra]],Parecer!$A$3:$F$70,5,FALSE), "Barramento ausente nos casos, porém ativo no SISBAR (sem carga e geração)")</f>
        <v>Barramento ausente nos casos, porém ativo no SISBAR (sem carga e geração)</v>
      </c>
      <c r="F317" s="5" t="str">
        <f>IFERROR(VLOOKUP(Tabela1[[#This Row],[Nº Barra]],Parecer!$A$3:$F$70,6,FALSE), "  ")</f>
        <v xml:space="preserve">  </v>
      </c>
    </row>
    <row r="318" spans="1:6" x14ac:dyDescent="0.25">
      <c r="A318" s="2">
        <v>48254</v>
      </c>
      <c r="B318" s="2" t="s">
        <v>432</v>
      </c>
      <c r="C318" s="11" t="s">
        <v>46</v>
      </c>
      <c r="D318" s="13" t="str">
        <f t="shared" si="1"/>
        <v>BA</v>
      </c>
      <c r="E318" s="15" t="str">
        <f>IFERROR(VLOOKUP(Tabela1[[#This Row],[Nº Barra]],Parecer!$A$3:$F$70,5,FALSE), "Barramento ausente nos casos, porém ativo no SISBAR (sem carga e geração)")</f>
        <v>Barramento ausente nos casos, porém ativo no SISBAR (sem carga e geração)</v>
      </c>
      <c r="F318" s="5" t="str">
        <f>IFERROR(VLOOKUP(Tabela1[[#This Row],[Nº Barra]],Parecer!$A$3:$F$70,6,FALSE), "  ")</f>
        <v xml:space="preserve">  </v>
      </c>
    </row>
    <row r="319" spans="1:6" x14ac:dyDescent="0.25">
      <c r="A319" s="2">
        <v>48255</v>
      </c>
      <c r="B319" s="2" t="s">
        <v>433</v>
      </c>
      <c r="C319" s="11" t="s">
        <v>46</v>
      </c>
      <c r="D319" s="13" t="str">
        <f t="shared" si="1"/>
        <v>BA</v>
      </c>
      <c r="E319" s="15" t="str">
        <f>IFERROR(VLOOKUP(Tabela1[[#This Row],[Nº Barra]],Parecer!$A$3:$F$70,5,FALSE), "Barramento ausente nos casos, porém ativo no SISBAR (sem carga e geração)")</f>
        <v>Barramento ausente nos casos, porém ativo no SISBAR (sem carga e geração)</v>
      </c>
      <c r="F319" s="5" t="str">
        <f>IFERROR(VLOOKUP(Tabela1[[#This Row],[Nº Barra]],Parecer!$A$3:$F$70,6,FALSE), "  ")</f>
        <v xml:space="preserve">  </v>
      </c>
    </row>
    <row r="320" spans="1:6" x14ac:dyDescent="0.25">
      <c r="A320" s="2">
        <v>48256</v>
      </c>
      <c r="B320" s="2" t="s">
        <v>434</v>
      </c>
      <c r="C320" s="11" t="s">
        <v>46</v>
      </c>
      <c r="D320" s="13" t="str">
        <f t="shared" si="1"/>
        <v>ER</v>
      </c>
      <c r="E320" s="15" t="str">
        <f>IFERROR(VLOOKUP(Tabela1[[#This Row],[Nº Barra]],Parecer!$A$3:$F$70,5,FALSE), "Barramento ausente nos casos, porém ativo no SISBAR (sem carga e geração)")</f>
        <v>Barramento ausente nos casos, porém ativo no SISBAR (sem carga e geração)</v>
      </c>
      <c r="F320" s="5" t="str">
        <f>IFERROR(VLOOKUP(Tabela1[[#This Row],[Nº Barra]],Parecer!$A$3:$F$70,6,FALSE), "  ")</f>
        <v xml:space="preserve">  </v>
      </c>
    </row>
    <row r="321" spans="1:6" x14ac:dyDescent="0.25">
      <c r="A321" s="2">
        <v>48310</v>
      </c>
      <c r="B321" s="2" t="s">
        <v>435</v>
      </c>
      <c r="C321" s="11" t="s">
        <v>46</v>
      </c>
      <c r="D321" s="13" t="str">
        <f t="shared" ref="D321:D332" si="2">LEFT(RIGHT(B321,5),2)</f>
        <v>SP</v>
      </c>
      <c r="E321" s="15" t="str">
        <f>IFERROR(VLOOKUP(Tabela1[[#This Row],[Nº Barra]],Parecer!$A$3:$F$70,5,FALSE), "Barramento ausente nos casos, porém ativo no SISBAR (sem carga e geração)")</f>
        <v>Barramento ausente nos casos, porém ativo no SISBAR (sem carga e geração)</v>
      </c>
      <c r="F321" s="5" t="str">
        <f>IFERROR(VLOOKUP(Tabela1[[#This Row],[Nº Barra]],Parecer!$A$3:$F$70,6,FALSE), "  ")</f>
        <v xml:space="preserve">  </v>
      </c>
    </row>
    <row r="322" spans="1:6" x14ac:dyDescent="0.25">
      <c r="A322" s="2">
        <v>48311</v>
      </c>
      <c r="B322" s="2" t="s">
        <v>436</v>
      </c>
      <c r="C322" s="11" t="s">
        <v>46</v>
      </c>
      <c r="D322" s="13" t="str">
        <f t="shared" si="2"/>
        <v>SP</v>
      </c>
      <c r="E322" s="15" t="str">
        <f>IFERROR(VLOOKUP(Tabela1[[#This Row],[Nº Barra]],Parecer!$A$3:$F$70,5,FALSE), "Barramento ausente nos casos, porém ativo no SISBAR (sem carga e geração)")</f>
        <v>Barramento ausente nos casos, porém ativo no SISBAR (sem carga e geração)</v>
      </c>
      <c r="F322" s="5" t="str">
        <f>IFERROR(VLOOKUP(Tabela1[[#This Row],[Nº Barra]],Parecer!$A$3:$F$70,6,FALSE), "  ")</f>
        <v xml:space="preserve">  </v>
      </c>
    </row>
    <row r="323" spans="1:6" x14ac:dyDescent="0.25">
      <c r="A323" s="2">
        <v>48346</v>
      </c>
      <c r="B323" s="2" t="s">
        <v>437</v>
      </c>
      <c r="C323" s="11" t="s">
        <v>46</v>
      </c>
      <c r="D323" s="13" t="str">
        <f t="shared" si="2"/>
        <v>GO</v>
      </c>
      <c r="E323" s="15" t="str">
        <f>IFERROR(VLOOKUP(Tabela1[[#This Row],[Nº Barra]],Parecer!$A$3:$F$70,5,FALSE), "Barramento ausente nos casos, porém ativo no SISBAR (sem carga e geração)")</f>
        <v>Barramento ausente nos casos, porém ativo no SISBAR (sem carga e geração)</v>
      </c>
      <c r="F323" s="5" t="str">
        <f>IFERROR(VLOOKUP(Tabela1[[#This Row],[Nº Barra]],Parecer!$A$3:$F$70,6,FALSE), "  ")</f>
        <v xml:space="preserve">  </v>
      </c>
    </row>
    <row r="324" spans="1:6" x14ac:dyDescent="0.25">
      <c r="A324" s="2">
        <v>48347</v>
      </c>
      <c r="B324" s="2" t="s">
        <v>438</v>
      </c>
      <c r="C324" s="11" t="s">
        <v>46</v>
      </c>
      <c r="D324" s="13" t="str">
        <f t="shared" si="2"/>
        <v>GO</v>
      </c>
      <c r="E324" s="15" t="str">
        <f>IFERROR(VLOOKUP(Tabela1[[#This Row],[Nº Barra]],Parecer!$A$3:$F$70,5,FALSE), "Barramento ausente nos casos, porém ativo no SISBAR (sem carga e geração)")</f>
        <v>Barramento ausente nos casos, porém ativo no SISBAR (sem carga e geração)</v>
      </c>
      <c r="F324" s="5" t="str">
        <f>IFERROR(VLOOKUP(Tabela1[[#This Row],[Nº Barra]],Parecer!$A$3:$F$70,6,FALSE), "  ")</f>
        <v xml:space="preserve">  </v>
      </c>
    </row>
    <row r="325" spans="1:6" x14ac:dyDescent="0.25">
      <c r="A325" s="2">
        <v>48348</v>
      </c>
      <c r="B325" s="2" t="s">
        <v>439</v>
      </c>
      <c r="C325" s="11" t="s">
        <v>46</v>
      </c>
      <c r="D325" s="13" t="str">
        <f t="shared" si="2"/>
        <v>FV</v>
      </c>
      <c r="E325" s="15" t="str">
        <f>IFERROR(VLOOKUP(Tabela1[[#This Row],[Nº Barra]],Parecer!$A$3:$F$70,5,FALSE), "Barramento ausente nos casos, porém ativo no SISBAR (sem carga e geração)")</f>
        <v>Barramento ausente nos casos, porém ativo no SISBAR (sem carga e geração)</v>
      </c>
      <c r="F325" s="5" t="str">
        <f>IFERROR(VLOOKUP(Tabela1[[#This Row],[Nº Barra]],Parecer!$A$3:$F$70,6,FALSE), "  ")</f>
        <v xml:space="preserve">  </v>
      </c>
    </row>
    <row r="326" spans="1:6" x14ac:dyDescent="0.25">
      <c r="A326" s="2">
        <v>48424</v>
      </c>
      <c r="B326" s="2" t="s">
        <v>440</v>
      </c>
      <c r="C326" s="11" t="s">
        <v>49</v>
      </c>
      <c r="D326" s="13" t="str">
        <f t="shared" si="2"/>
        <v>MG</v>
      </c>
      <c r="E326" s="15" t="str">
        <f>IFERROR(VLOOKUP(Tabela1[[#This Row],[Nº Barra]],Parecer!$A$3:$F$70,5,FALSE), "Barramento ausente nos casos, porém ativo no SISBAR (sem carga e geração)")</f>
        <v>Barramento ausente nos casos, porém ativo no SISBAR (sem carga e geração)</v>
      </c>
      <c r="F326" s="5" t="str">
        <f>IFERROR(VLOOKUP(Tabela1[[#This Row],[Nº Barra]],Parecer!$A$3:$F$70,6,FALSE), "  ")</f>
        <v xml:space="preserve">  </v>
      </c>
    </row>
    <row r="327" spans="1:6" x14ac:dyDescent="0.25">
      <c r="A327" s="2">
        <v>48433</v>
      </c>
      <c r="B327" s="2" t="s">
        <v>441</v>
      </c>
      <c r="C327" s="11" t="s">
        <v>49</v>
      </c>
      <c r="D327" s="13" t="str">
        <f t="shared" si="2"/>
        <v>MG</v>
      </c>
      <c r="E327" s="15" t="str">
        <f>IFERROR(VLOOKUP(Tabela1[[#This Row],[Nº Barra]],Parecer!$A$3:$F$70,5,FALSE), "Barramento ausente nos casos, porém ativo no SISBAR (sem carga e geração)")</f>
        <v>Barramento ausente nos casos, porém ativo no SISBAR (sem carga e geração)</v>
      </c>
      <c r="F327" s="5" t="str">
        <f>IFERROR(VLOOKUP(Tabela1[[#This Row],[Nº Barra]],Parecer!$A$3:$F$70,6,FALSE), "  ")</f>
        <v xml:space="preserve">  </v>
      </c>
    </row>
    <row r="328" spans="1:6" x14ac:dyDescent="0.25">
      <c r="A328" s="2">
        <v>48436</v>
      </c>
      <c r="B328" s="2" t="s">
        <v>442</v>
      </c>
      <c r="C328" s="11" t="s">
        <v>49</v>
      </c>
      <c r="D328" s="13" t="str">
        <f t="shared" si="2"/>
        <v>MG</v>
      </c>
      <c r="E328" s="15" t="str">
        <f>IFERROR(VLOOKUP(Tabela1[[#This Row],[Nº Barra]],Parecer!$A$3:$F$70,5,FALSE), "Barramento ausente nos casos, porém ativo no SISBAR (sem carga e geração)")</f>
        <v>Barramento ausente nos casos, porém ativo no SISBAR (sem carga e geração)</v>
      </c>
      <c r="F328" s="5" t="str">
        <f>IFERROR(VLOOKUP(Tabela1[[#This Row],[Nº Barra]],Parecer!$A$3:$F$70,6,FALSE), "  ")</f>
        <v xml:space="preserve">  </v>
      </c>
    </row>
    <row r="329" spans="1:6" x14ac:dyDescent="0.25">
      <c r="A329" s="2">
        <v>48439</v>
      </c>
      <c r="B329" s="2" t="s">
        <v>443</v>
      </c>
      <c r="C329" s="11" t="s">
        <v>49</v>
      </c>
      <c r="D329" s="13" t="str">
        <f t="shared" si="2"/>
        <v>MG</v>
      </c>
      <c r="E329" s="15" t="str">
        <f>IFERROR(VLOOKUP(Tabela1[[#This Row],[Nº Barra]],Parecer!$A$3:$F$70,5,FALSE), "Barramento ausente nos casos, porém ativo no SISBAR (sem carga e geração)")</f>
        <v>Barramento ausente nos casos, porém ativo no SISBAR (sem carga e geração)</v>
      </c>
      <c r="F329" s="5" t="str">
        <f>IFERROR(VLOOKUP(Tabela1[[#This Row],[Nº Barra]],Parecer!$A$3:$F$70,6,FALSE), "  ")</f>
        <v xml:space="preserve">  </v>
      </c>
    </row>
    <row r="330" spans="1:6" x14ac:dyDescent="0.25">
      <c r="A330" s="2">
        <v>48601</v>
      </c>
      <c r="B330" s="2" t="s">
        <v>444</v>
      </c>
      <c r="C330" s="11" t="s">
        <v>48</v>
      </c>
      <c r="D330" s="13" t="str">
        <f t="shared" si="2"/>
        <v>SP</v>
      </c>
      <c r="E330" s="15" t="str">
        <f>IFERROR(VLOOKUP(Tabela1[[#This Row],[Nº Barra]],Parecer!$A$3:$F$70,5,FALSE), "Barramento ausente nos casos, porém ativo no SISBAR (sem carga e geração)")</f>
        <v>Barramento ausente nos casos, porém ativo no SISBAR (sem carga e geração)</v>
      </c>
      <c r="F330" s="5" t="str">
        <f>IFERROR(VLOOKUP(Tabela1[[#This Row],[Nº Barra]],Parecer!$A$3:$F$70,6,FALSE), "  ")</f>
        <v xml:space="preserve">  </v>
      </c>
    </row>
    <row r="331" spans="1:6" x14ac:dyDescent="0.25">
      <c r="A331" s="2">
        <v>48602</v>
      </c>
      <c r="B331" s="2" t="s">
        <v>445</v>
      </c>
      <c r="C331" s="11" t="s">
        <v>48</v>
      </c>
      <c r="D331" s="13" t="str">
        <f t="shared" si="2"/>
        <v>SP</v>
      </c>
      <c r="E331" s="15" t="str">
        <f>IFERROR(VLOOKUP(Tabela1[[#This Row],[Nº Barra]],Parecer!$A$3:$F$70,5,FALSE), "Barramento ausente nos casos, porém ativo no SISBAR (sem carga e geração)")</f>
        <v>Barramento ausente nos casos, porém ativo no SISBAR (sem carga e geração)</v>
      </c>
      <c r="F331" s="5" t="str">
        <f>IFERROR(VLOOKUP(Tabela1[[#This Row],[Nº Barra]],Parecer!$A$3:$F$70,6,FALSE), "  ")</f>
        <v xml:space="preserve">  </v>
      </c>
    </row>
    <row r="332" spans="1:6" x14ac:dyDescent="0.25">
      <c r="A332" s="2">
        <v>90000</v>
      </c>
      <c r="B332" s="2" t="s">
        <v>144</v>
      </c>
      <c r="C332" s="11" t="s">
        <v>46</v>
      </c>
      <c r="D332" s="13" t="str">
        <f t="shared" si="2"/>
        <v>RJ</v>
      </c>
      <c r="E332" s="15" t="str">
        <f>IFERROR(VLOOKUP(Tabela1[[#This Row],[Nº Barra]],Parecer!$A$3:$F$70,5,FALSE), "Barramento ausente nos casos, porém ativo no SISBAR (sem carga e geração)")</f>
        <v>Barramento ausente nos casos, porém ativo no SISBAR (sem carga e geração)</v>
      </c>
      <c r="F332" s="5" t="str">
        <f>IFERROR(VLOOKUP(Tabela1[[#This Row],[Nº Barra]],Parecer!$A$3:$F$70,6,FALSE), "  ")</f>
        <v xml:space="preserve">Barra que será inclusa no futuro (fora do horizonte do mensal) 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EE0D2-A222-4B72-84BE-32D8C6839B68}">
  <dimension ref="A1:G70"/>
  <sheetViews>
    <sheetView zoomScale="85" zoomScaleNormal="85" workbookViewId="0">
      <selection activeCell="E47" sqref="E47"/>
    </sheetView>
  </sheetViews>
  <sheetFormatPr defaultRowHeight="15" x14ac:dyDescent="0.25"/>
  <cols>
    <col min="1" max="1" width="13.7109375" customWidth="1"/>
    <col min="2" max="2" width="14.42578125" bestFit="1" customWidth="1"/>
    <col min="3" max="3" width="19.42578125" bestFit="1" customWidth="1"/>
    <col min="4" max="4" width="4.85546875" bestFit="1" customWidth="1"/>
    <col min="5" max="5" width="96.85546875" bestFit="1" customWidth="1"/>
    <col min="6" max="6" width="255.5703125" bestFit="1" customWidth="1"/>
  </cols>
  <sheetData>
    <row r="1" spans="1:7" x14ac:dyDescent="0.25">
      <c r="A1" t="s">
        <v>0</v>
      </c>
      <c r="F1" t="s">
        <v>1</v>
      </c>
      <c r="G1" t="s">
        <v>82</v>
      </c>
    </row>
    <row r="2" spans="1:7" x14ac:dyDescent="0.25">
      <c r="A2" t="s">
        <v>2</v>
      </c>
      <c r="B2" t="s">
        <v>3</v>
      </c>
      <c r="C2" t="s">
        <v>4</v>
      </c>
      <c r="D2" t="s">
        <v>5</v>
      </c>
      <c r="E2" t="s">
        <v>6</v>
      </c>
    </row>
    <row r="3" spans="1:7" x14ac:dyDescent="0.25">
      <c r="A3">
        <v>2662</v>
      </c>
      <c r="B3" t="s">
        <v>83</v>
      </c>
      <c r="C3" t="s">
        <v>84</v>
      </c>
      <c r="D3" t="s">
        <v>85</v>
      </c>
      <c r="E3" t="s">
        <v>86</v>
      </c>
      <c r="F3" t="s">
        <v>87</v>
      </c>
      <c r="G3" t="s">
        <v>88</v>
      </c>
    </row>
    <row r="4" spans="1:7" x14ac:dyDescent="0.25">
      <c r="A4">
        <v>45671</v>
      </c>
      <c r="B4" t="s">
        <v>28</v>
      </c>
      <c r="C4" t="s">
        <v>46</v>
      </c>
      <c r="D4" t="s">
        <v>89</v>
      </c>
      <c r="E4" t="s">
        <v>90</v>
      </c>
      <c r="G4" t="s">
        <v>40</v>
      </c>
    </row>
    <row r="5" spans="1:7" x14ac:dyDescent="0.25">
      <c r="A5">
        <v>45672</v>
      </c>
      <c r="B5" t="s">
        <v>29</v>
      </c>
      <c r="C5" t="s">
        <v>46</v>
      </c>
      <c r="D5" t="s">
        <v>89</v>
      </c>
      <c r="E5" t="s">
        <v>90</v>
      </c>
      <c r="G5" t="s">
        <v>40</v>
      </c>
    </row>
    <row r="6" spans="1:7" x14ac:dyDescent="0.25">
      <c r="A6">
        <v>48355</v>
      </c>
      <c r="B6" t="s">
        <v>91</v>
      </c>
      <c r="C6" t="s">
        <v>46</v>
      </c>
      <c r="D6" t="s">
        <v>89</v>
      </c>
      <c r="E6" t="s">
        <v>92</v>
      </c>
      <c r="G6" t="s">
        <v>40</v>
      </c>
    </row>
    <row r="7" spans="1:7" x14ac:dyDescent="0.25">
      <c r="A7">
        <v>45673</v>
      </c>
      <c r="B7" t="s">
        <v>93</v>
      </c>
      <c r="C7" t="s">
        <v>46</v>
      </c>
      <c r="D7" t="s">
        <v>89</v>
      </c>
      <c r="E7" t="s">
        <v>94</v>
      </c>
      <c r="G7" t="s">
        <v>40</v>
      </c>
    </row>
    <row r="8" spans="1:7" x14ac:dyDescent="0.25">
      <c r="A8">
        <v>45674</v>
      </c>
      <c r="B8" t="s">
        <v>95</v>
      </c>
      <c r="C8" t="s">
        <v>46</v>
      </c>
      <c r="D8" t="s">
        <v>89</v>
      </c>
      <c r="E8" t="s">
        <v>94</v>
      </c>
      <c r="G8" t="s">
        <v>40</v>
      </c>
    </row>
    <row r="9" spans="1:7" x14ac:dyDescent="0.25">
      <c r="A9">
        <v>47413</v>
      </c>
      <c r="B9" t="s">
        <v>96</v>
      </c>
      <c r="C9" t="s">
        <v>46</v>
      </c>
      <c r="D9" t="s">
        <v>89</v>
      </c>
      <c r="E9" t="s">
        <v>94</v>
      </c>
      <c r="G9" t="s">
        <v>40</v>
      </c>
    </row>
    <row r="10" spans="1:7" x14ac:dyDescent="0.25">
      <c r="A10">
        <v>47414</v>
      </c>
      <c r="B10" t="s">
        <v>97</v>
      </c>
      <c r="C10" t="s">
        <v>46</v>
      </c>
      <c r="D10" t="s">
        <v>89</v>
      </c>
      <c r="E10" t="s">
        <v>94</v>
      </c>
      <c r="G10" t="s">
        <v>40</v>
      </c>
    </row>
    <row r="11" spans="1:7" x14ac:dyDescent="0.25">
      <c r="A11">
        <v>46401</v>
      </c>
      <c r="B11" t="s">
        <v>98</v>
      </c>
      <c r="C11" t="s">
        <v>49</v>
      </c>
      <c r="D11" t="s">
        <v>99</v>
      </c>
      <c r="E11" t="s">
        <v>86</v>
      </c>
      <c r="F11" t="s">
        <v>36</v>
      </c>
      <c r="G11" t="s">
        <v>100</v>
      </c>
    </row>
    <row r="12" spans="1:7" x14ac:dyDescent="0.25">
      <c r="A12">
        <v>46349</v>
      </c>
      <c r="B12" t="s">
        <v>30</v>
      </c>
      <c r="C12" t="s">
        <v>49</v>
      </c>
      <c r="D12" t="s">
        <v>99</v>
      </c>
      <c r="E12" t="s">
        <v>90</v>
      </c>
      <c r="F12" t="s">
        <v>34</v>
      </c>
      <c r="G12" t="s">
        <v>100</v>
      </c>
    </row>
    <row r="13" spans="1:7" x14ac:dyDescent="0.25">
      <c r="A13">
        <v>46350</v>
      </c>
      <c r="B13" t="s">
        <v>31</v>
      </c>
      <c r="C13" t="s">
        <v>49</v>
      </c>
      <c r="D13" t="s">
        <v>99</v>
      </c>
      <c r="E13" t="s">
        <v>90</v>
      </c>
      <c r="F13" t="s">
        <v>35</v>
      </c>
      <c r="G13" t="s">
        <v>100</v>
      </c>
    </row>
    <row r="14" spans="1:7" x14ac:dyDescent="0.25">
      <c r="A14">
        <v>46406</v>
      </c>
      <c r="B14" t="s">
        <v>32</v>
      </c>
      <c r="C14" t="s">
        <v>49</v>
      </c>
      <c r="D14" t="s">
        <v>99</v>
      </c>
      <c r="E14" t="s">
        <v>90</v>
      </c>
      <c r="F14" t="s">
        <v>34</v>
      </c>
      <c r="G14" t="s">
        <v>100</v>
      </c>
    </row>
    <row r="15" spans="1:7" x14ac:dyDescent="0.25">
      <c r="A15">
        <v>46408</v>
      </c>
      <c r="B15" t="s">
        <v>33</v>
      </c>
      <c r="C15" t="s">
        <v>49</v>
      </c>
      <c r="D15" t="s">
        <v>99</v>
      </c>
      <c r="E15" t="s">
        <v>90</v>
      </c>
      <c r="F15" t="s">
        <v>36</v>
      </c>
      <c r="G15" t="s">
        <v>100</v>
      </c>
    </row>
    <row r="16" spans="1:7" x14ac:dyDescent="0.25">
      <c r="A16">
        <v>47273</v>
      </c>
      <c r="B16" t="s">
        <v>21</v>
      </c>
      <c r="C16" t="s">
        <v>49</v>
      </c>
      <c r="D16" t="s">
        <v>99</v>
      </c>
      <c r="E16" t="s">
        <v>90</v>
      </c>
      <c r="F16" t="s">
        <v>37</v>
      </c>
      <c r="G16" t="s">
        <v>101</v>
      </c>
    </row>
    <row r="17" spans="1:7" x14ac:dyDescent="0.25">
      <c r="A17">
        <v>47274</v>
      </c>
      <c r="B17" t="s">
        <v>22</v>
      </c>
      <c r="C17" t="s">
        <v>49</v>
      </c>
      <c r="D17" t="s">
        <v>99</v>
      </c>
      <c r="E17" t="s">
        <v>90</v>
      </c>
      <c r="F17" t="s">
        <v>38</v>
      </c>
      <c r="G17" t="s">
        <v>101</v>
      </c>
    </row>
    <row r="18" spans="1:7" x14ac:dyDescent="0.25">
      <c r="A18">
        <v>47275</v>
      </c>
      <c r="B18" t="s">
        <v>23</v>
      </c>
      <c r="C18" t="s">
        <v>49</v>
      </c>
      <c r="D18" t="s">
        <v>99</v>
      </c>
      <c r="E18" t="s">
        <v>90</v>
      </c>
      <c r="F18" t="s">
        <v>39</v>
      </c>
      <c r="G18" t="s">
        <v>101</v>
      </c>
    </row>
    <row r="19" spans="1:7" x14ac:dyDescent="0.25">
      <c r="A19">
        <v>7171</v>
      </c>
      <c r="B19" t="s">
        <v>102</v>
      </c>
      <c r="C19" t="s">
        <v>49</v>
      </c>
      <c r="D19" t="s">
        <v>99</v>
      </c>
      <c r="E19" t="s">
        <v>92</v>
      </c>
      <c r="F19" t="s">
        <v>103</v>
      </c>
      <c r="G19" t="s">
        <v>104</v>
      </c>
    </row>
    <row r="20" spans="1:7" x14ac:dyDescent="0.25">
      <c r="A20">
        <v>44776</v>
      </c>
      <c r="B20" t="s">
        <v>105</v>
      </c>
      <c r="C20" t="s">
        <v>49</v>
      </c>
      <c r="D20" t="s">
        <v>99</v>
      </c>
      <c r="E20" t="s">
        <v>92</v>
      </c>
      <c r="F20" t="s">
        <v>106</v>
      </c>
      <c r="G20" t="s">
        <v>107</v>
      </c>
    </row>
    <row r="21" spans="1:7" x14ac:dyDescent="0.25">
      <c r="A21">
        <v>45489</v>
      </c>
      <c r="B21" t="s">
        <v>108</v>
      </c>
      <c r="C21" t="s">
        <v>49</v>
      </c>
      <c r="D21" t="s">
        <v>99</v>
      </c>
      <c r="E21" t="s">
        <v>92</v>
      </c>
      <c r="F21" t="s">
        <v>106</v>
      </c>
      <c r="G21" t="s">
        <v>107</v>
      </c>
    </row>
    <row r="22" spans="1:7" x14ac:dyDescent="0.25">
      <c r="A22">
        <v>46400</v>
      </c>
      <c r="B22" t="s">
        <v>109</v>
      </c>
      <c r="C22" t="s">
        <v>49</v>
      </c>
      <c r="D22" t="s">
        <v>99</v>
      </c>
      <c r="E22" t="s">
        <v>110</v>
      </c>
      <c r="F22" t="s">
        <v>111</v>
      </c>
      <c r="G22" t="s">
        <v>101</v>
      </c>
    </row>
    <row r="23" spans="1:7" x14ac:dyDescent="0.25">
      <c r="A23">
        <v>48434</v>
      </c>
      <c r="B23" t="s">
        <v>112</v>
      </c>
      <c r="C23" t="s">
        <v>49</v>
      </c>
      <c r="D23" t="s">
        <v>99</v>
      </c>
      <c r="E23" t="s">
        <v>110</v>
      </c>
      <c r="F23" t="s">
        <v>113</v>
      </c>
      <c r="G23" t="s">
        <v>101</v>
      </c>
    </row>
    <row r="24" spans="1:7" x14ac:dyDescent="0.25">
      <c r="A24">
        <v>48441</v>
      </c>
      <c r="B24" t="s">
        <v>114</v>
      </c>
      <c r="C24" t="s">
        <v>49</v>
      </c>
      <c r="D24" t="s">
        <v>99</v>
      </c>
      <c r="E24" t="s">
        <v>110</v>
      </c>
      <c r="F24" t="s">
        <v>115</v>
      </c>
      <c r="G24" t="s">
        <v>101</v>
      </c>
    </row>
    <row r="25" spans="1:7" x14ac:dyDescent="0.25">
      <c r="A25">
        <v>48504</v>
      </c>
      <c r="B25" t="s">
        <v>116</v>
      </c>
      <c r="C25" t="s">
        <v>49</v>
      </c>
      <c r="D25" t="s">
        <v>99</v>
      </c>
      <c r="E25" t="s">
        <v>110</v>
      </c>
      <c r="F25" t="s">
        <v>117</v>
      </c>
      <c r="G25" t="s">
        <v>100</v>
      </c>
    </row>
    <row r="26" spans="1:7" x14ac:dyDescent="0.25">
      <c r="A26">
        <v>7712</v>
      </c>
      <c r="B26" t="s">
        <v>118</v>
      </c>
      <c r="C26" t="s">
        <v>49</v>
      </c>
      <c r="D26" t="s">
        <v>99</v>
      </c>
      <c r="E26" t="s">
        <v>94</v>
      </c>
      <c r="F26" t="s">
        <v>119</v>
      </c>
      <c r="G26" t="s">
        <v>100</v>
      </c>
    </row>
    <row r="27" spans="1:7" x14ac:dyDescent="0.25">
      <c r="A27">
        <v>9091</v>
      </c>
      <c r="B27" t="s">
        <v>120</v>
      </c>
      <c r="C27" t="s">
        <v>49</v>
      </c>
      <c r="D27" t="s">
        <v>99</v>
      </c>
      <c r="E27" t="s">
        <v>94</v>
      </c>
      <c r="F27" t="s">
        <v>121</v>
      </c>
      <c r="G27" t="s">
        <v>122</v>
      </c>
    </row>
    <row r="28" spans="1:7" x14ac:dyDescent="0.25">
      <c r="A28">
        <v>9092</v>
      </c>
      <c r="B28" t="s">
        <v>123</v>
      </c>
      <c r="C28" t="s">
        <v>49</v>
      </c>
      <c r="D28" t="s">
        <v>99</v>
      </c>
      <c r="E28" t="s">
        <v>94</v>
      </c>
      <c r="F28" t="s">
        <v>121</v>
      </c>
      <c r="G28" t="s">
        <v>122</v>
      </c>
    </row>
    <row r="29" spans="1:7" x14ac:dyDescent="0.25">
      <c r="A29">
        <v>40778</v>
      </c>
      <c r="B29" t="s">
        <v>124</v>
      </c>
      <c r="C29" t="s">
        <v>49</v>
      </c>
      <c r="D29" t="s">
        <v>99</v>
      </c>
      <c r="E29" t="s">
        <v>94</v>
      </c>
      <c r="F29" t="s">
        <v>119</v>
      </c>
      <c r="G29" t="s">
        <v>100</v>
      </c>
    </row>
    <row r="30" spans="1:7" x14ac:dyDescent="0.25">
      <c r="A30">
        <v>48445</v>
      </c>
      <c r="B30" t="s">
        <v>125</v>
      </c>
      <c r="C30" t="s">
        <v>49</v>
      </c>
      <c r="D30" t="s">
        <v>99</v>
      </c>
      <c r="E30" t="s">
        <v>94</v>
      </c>
      <c r="F30" t="s">
        <v>126</v>
      </c>
      <c r="G30" t="s">
        <v>101</v>
      </c>
    </row>
    <row r="31" spans="1:7" x14ac:dyDescent="0.25">
      <c r="A31">
        <v>47121</v>
      </c>
      <c r="B31" t="s">
        <v>127</v>
      </c>
      <c r="C31" t="s">
        <v>128</v>
      </c>
      <c r="D31" t="s">
        <v>129</v>
      </c>
      <c r="E31" t="s">
        <v>86</v>
      </c>
      <c r="F31" t="s">
        <v>130</v>
      </c>
      <c r="G31" t="s">
        <v>100</v>
      </c>
    </row>
    <row r="32" spans="1:7" x14ac:dyDescent="0.25">
      <c r="A32">
        <v>48000</v>
      </c>
      <c r="B32" t="s">
        <v>131</v>
      </c>
      <c r="C32" t="s">
        <v>128</v>
      </c>
      <c r="D32" t="s">
        <v>129</v>
      </c>
      <c r="E32" t="s">
        <v>86</v>
      </c>
      <c r="F32" t="s">
        <v>130</v>
      </c>
      <c r="G32" t="s">
        <v>100</v>
      </c>
    </row>
    <row r="33" spans="1:7" x14ac:dyDescent="0.25">
      <c r="A33">
        <v>48062</v>
      </c>
      <c r="B33" t="s">
        <v>132</v>
      </c>
      <c r="C33" t="s">
        <v>128</v>
      </c>
      <c r="D33" t="s">
        <v>129</v>
      </c>
      <c r="E33" t="s">
        <v>94</v>
      </c>
      <c r="F33" t="s">
        <v>133</v>
      </c>
      <c r="G33" t="s">
        <v>100</v>
      </c>
    </row>
    <row r="34" spans="1:7" x14ac:dyDescent="0.25">
      <c r="A34">
        <v>4112</v>
      </c>
      <c r="B34" t="s">
        <v>134</v>
      </c>
      <c r="C34" t="s">
        <v>135</v>
      </c>
      <c r="D34" t="s">
        <v>136</v>
      </c>
      <c r="E34" t="s">
        <v>94</v>
      </c>
      <c r="F34" t="s">
        <v>137</v>
      </c>
      <c r="G34" t="s">
        <v>101</v>
      </c>
    </row>
    <row r="35" spans="1:7" x14ac:dyDescent="0.25">
      <c r="A35">
        <v>46679</v>
      </c>
      <c r="B35" t="s">
        <v>138</v>
      </c>
      <c r="C35" t="s">
        <v>139</v>
      </c>
      <c r="D35" t="s">
        <v>136</v>
      </c>
      <c r="E35" t="s">
        <v>94</v>
      </c>
      <c r="F35" t="s">
        <v>137</v>
      </c>
      <c r="G35" t="s">
        <v>101</v>
      </c>
    </row>
    <row r="36" spans="1:7" x14ac:dyDescent="0.25">
      <c r="A36">
        <v>47840</v>
      </c>
      <c r="B36" t="s">
        <v>140</v>
      </c>
      <c r="C36" t="s">
        <v>139</v>
      </c>
      <c r="D36" t="s">
        <v>136</v>
      </c>
      <c r="E36" t="s">
        <v>94</v>
      </c>
      <c r="F36" t="s">
        <v>137</v>
      </c>
      <c r="G36" t="s">
        <v>101</v>
      </c>
    </row>
    <row r="37" spans="1:7" x14ac:dyDescent="0.25">
      <c r="A37">
        <v>47841</v>
      </c>
      <c r="B37" t="s">
        <v>141</v>
      </c>
      <c r="C37" t="s">
        <v>139</v>
      </c>
      <c r="D37" t="s">
        <v>136</v>
      </c>
      <c r="E37" t="s">
        <v>94</v>
      </c>
      <c r="F37" t="s">
        <v>137</v>
      </c>
      <c r="G37" t="s">
        <v>101</v>
      </c>
    </row>
    <row r="38" spans="1:7" x14ac:dyDescent="0.25">
      <c r="A38">
        <v>47844</v>
      </c>
      <c r="B38" t="s">
        <v>142</v>
      </c>
      <c r="C38" t="s">
        <v>139</v>
      </c>
      <c r="D38" t="s">
        <v>136</v>
      </c>
      <c r="E38" t="s">
        <v>94</v>
      </c>
      <c r="F38" t="s">
        <v>137</v>
      </c>
      <c r="G38" t="s">
        <v>101</v>
      </c>
    </row>
    <row r="39" spans="1:7" x14ac:dyDescent="0.25">
      <c r="A39">
        <v>48182</v>
      </c>
      <c r="B39" t="s">
        <v>143</v>
      </c>
      <c r="C39" t="s">
        <v>135</v>
      </c>
      <c r="D39" t="s">
        <v>136</v>
      </c>
      <c r="E39" t="s">
        <v>94</v>
      </c>
      <c r="F39" t="s">
        <v>137</v>
      </c>
      <c r="G39" t="s">
        <v>101</v>
      </c>
    </row>
    <row r="40" spans="1:7" x14ac:dyDescent="0.25">
      <c r="A40">
        <v>90000</v>
      </c>
      <c r="B40" t="s">
        <v>144</v>
      </c>
      <c r="C40" t="s">
        <v>135</v>
      </c>
      <c r="D40" t="s">
        <v>136</v>
      </c>
      <c r="E40" t="s">
        <v>94</v>
      </c>
      <c r="F40" t="s">
        <v>137</v>
      </c>
      <c r="G40" t="s">
        <v>101</v>
      </c>
    </row>
    <row r="41" spans="1:7" x14ac:dyDescent="0.25">
      <c r="A41">
        <v>2178</v>
      </c>
      <c r="B41" t="s">
        <v>145</v>
      </c>
      <c r="C41" t="s">
        <v>146</v>
      </c>
      <c r="D41" t="s">
        <v>147</v>
      </c>
      <c r="E41" t="s">
        <v>86</v>
      </c>
      <c r="F41" t="s">
        <v>148</v>
      </c>
      <c r="G41" t="s">
        <v>88</v>
      </c>
    </row>
    <row r="42" spans="1:7" x14ac:dyDescent="0.25">
      <c r="A42">
        <v>47281</v>
      </c>
      <c r="B42" t="s">
        <v>149</v>
      </c>
      <c r="C42" t="s">
        <v>146</v>
      </c>
      <c r="D42" t="s">
        <v>147</v>
      </c>
      <c r="E42" t="s">
        <v>86</v>
      </c>
      <c r="F42" t="s">
        <v>150</v>
      </c>
      <c r="G42" t="s">
        <v>88</v>
      </c>
    </row>
    <row r="43" spans="1:7" x14ac:dyDescent="0.25">
      <c r="A43">
        <v>47282</v>
      </c>
      <c r="B43" t="s">
        <v>151</v>
      </c>
      <c r="C43" t="s">
        <v>146</v>
      </c>
      <c r="D43" t="s">
        <v>147</v>
      </c>
      <c r="E43" t="s">
        <v>86</v>
      </c>
      <c r="F43" t="s">
        <v>152</v>
      </c>
      <c r="G43" t="s">
        <v>88</v>
      </c>
    </row>
    <row r="44" spans="1:7" x14ac:dyDescent="0.25">
      <c r="A44">
        <v>47734</v>
      </c>
      <c r="B44" t="s">
        <v>153</v>
      </c>
      <c r="C44" t="s">
        <v>146</v>
      </c>
      <c r="D44" t="s">
        <v>147</v>
      </c>
      <c r="E44" t="s">
        <v>86</v>
      </c>
      <c r="G44" t="s">
        <v>40</v>
      </c>
    </row>
    <row r="45" spans="1:7" x14ac:dyDescent="0.25">
      <c r="A45">
        <v>17687</v>
      </c>
      <c r="B45" t="s">
        <v>154</v>
      </c>
      <c r="C45" t="s">
        <v>146</v>
      </c>
      <c r="D45" t="s">
        <v>147</v>
      </c>
      <c r="E45" t="s">
        <v>92</v>
      </c>
      <c r="G45" t="s">
        <v>40</v>
      </c>
    </row>
    <row r="46" spans="1:7" x14ac:dyDescent="0.25">
      <c r="A46">
        <v>13676</v>
      </c>
      <c r="B46" t="s">
        <v>155</v>
      </c>
      <c r="C46" t="s">
        <v>146</v>
      </c>
      <c r="D46" t="s">
        <v>147</v>
      </c>
      <c r="E46" t="s">
        <v>94</v>
      </c>
      <c r="F46" t="s">
        <v>156</v>
      </c>
      <c r="G46" t="s">
        <v>101</v>
      </c>
    </row>
    <row r="47" spans="1:7" x14ac:dyDescent="0.25">
      <c r="A47">
        <v>23676</v>
      </c>
      <c r="B47" t="s">
        <v>157</v>
      </c>
      <c r="C47" t="s">
        <v>146</v>
      </c>
      <c r="D47" t="s">
        <v>147</v>
      </c>
      <c r="E47" t="s">
        <v>94</v>
      </c>
      <c r="F47" t="s">
        <v>156</v>
      </c>
      <c r="G47" t="s">
        <v>101</v>
      </c>
    </row>
    <row r="48" spans="1:7" x14ac:dyDescent="0.25">
      <c r="A48">
        <v>7647</v>
      </c>
      <c r="B48" t="s">
        <v>7</v>
      </c>
      <c r="C48" t="s">
        <v>41</v>
      </c>
      <c r="D48" t="s">
        <v>147</v>
      </c>
      <c r="E48" t="s">
        <v>90</v>
      </c>
      <c r="G48" t="s">
        <v>40</v>
      </c>
    </row>
    <row r="49" spans="1:7" x14ac:dyDescent="0.25">
      <c r="A49">
        <v>4146</v>
      </c>
      <c r="B49" t="s">
        <v>158</v>
      </c>
      <c r="C49" t="s">
        <v>41</v>
      </c>
      <c r="D49" t="s">
        <v>147</v>
      </c>
      <c r="E49" t="s">
        <v>94</v>
      </c>
      <c r="G49" t="s">
        <v>40</v>
      </c>
    </row>
    <row r="50" spans="1:7" x14ac:dyDescent="0.25">
      <c r="A50">
        <v>45519</v>
      </c>
      <c r="B50" t="s">
        <v>19</v>
      </c>
      <c r="C50" t="s">
        <v>48</v>
      </c>
      <c r="D50" t="s">
        <v>147</v>
      </c>
      <c r="E50" t="s">
        <v>90</v>
      </c>
      <c r="G50" t="s">
        <v>40</v>
      </c>
    </row>
    <row r="51" spans="1:7" x14ac:dyDescent="0.25">
      <c r="A51">
        <v>45522</v>
      </c>
      <c r="B51" t="s">
        <v>20</v>
      </c>
      <c r="C51" t="s">
        <v>48</v>
      </c>
      <c r="D51" t="s">
        <v>147</v>
      </c>
      <c r="E51" t="s">
        <v>90</v>
      </c>
      <c r="G51" t="s">
        <v>40</v>
      </c>
    </row>
    <row r="52" spans="1:7" x14ac:dyDescent="0.25">
      <c r="A52">
        <v>44773</v>
      </c>
      <c r="B52" t="s">
        <v>15</v>
      </c>
      <c r="C52" t="s">
        <v>46</v>
      </c>
      <c r="D52" t="s">
        <v>147</v>
      </c>
      <c r="E52" t="s">
        <v>90</v>
      </c>
      <c r="G52" t="s">
        <v>40</v>
      </c>
    </row>
    <row r="53" spans="1:7" x14ac:dyDescent="0.25">
      <c r="A53">
        <v>44774</v>
      </c>
      <c r="B53" t="s">
        <v>16</v>
      </c>
      <c r="C53" t="s">
        <v>46</v>
      </c>
      <c r="D53" t="s">
        <v>147</v>
      </c>
      <c r="E53" t="s">
        <v>90</v>
      </c>
      <c r="G53" t="s">
        <v>40</v>
      </c>
    </row>
    <row r="54" spans="1:7" x14ac:dyDescent="0.25">
      <c r="A54">
        <v>41782</v>
      </c>
      <c r="B54" t="s">
        <v>159</v>
      </c>
      <c r="C54" t="s">
        <v>46</v>
      </c>
      <c r="D54" t="s">
        <v>147</v>
      </c>
      <c r="E54" t="s">
        <v>92</v>
      </c>
      <c r="G54" t="s">
        <v>40</v>
      </c>
    </row>
    <row r="55" spans="1:7" x14ac:dyDescent="0.25">
      <c r="A55">
        <v>41783</v>
      </c>
      <c r="B55" t="s">
        <v>160</v>
      </c>
      <c r="C55" t="s">
        <v>46</v>
      </c>
      <c r="D55" t="s">
        <v>147</v>
      </c>
      <c r="E55" t="s">
        <v>92</v>
      </c>
      <c r="G55" t="s">
        <v>40</v>
      </c>
    </row>
    <row r="56" spans="1:7" x14ac:dyDescent="0.25">
      <c r="A56">
        <v>41827</v>
      </c>
      <c r="B56" t="s">
        <v>161</v>
      </c>
      <c r="C56" t="s">
        <v>46</v>
      </c>
      <c r="D56" t="s">
        <v>147</v>
      </c>
      <c r="E56" t="s">
        <v>92</v>
      </c>
      <c r="G56" t="s">
        <v>40</v>
      </c>
    </row>
    <row r="57" spans="1:7" x14ac:dyDescent="0.25">
      <c r="A57">
        <v>41897</v>
      </c>
      <c r="B57" t="s">
        <v>162</v>
      </c>
      <c r="C57" t="s">
        <v>46</v>
      </c>
      <c r="D57" t="s">
        <v>147</v>
      </c>
      <c r="E57" t="s">
        <v>92</v>
      </c>
      <c r="G57" t="s">
        <v>40</v>
      </c>
    </row>
    <row r="58" spans="1:7" x14ac:dyDescent="0.25">
      <c r="A58">
        <v>44417</v>
      </c>
      <c r="B58" t="s">
        <v>163</v>
      </c>
      <c r="C58" t="s">
        <v>46</v>
      </c>
      <c r="D58" t="s">
        <v>147</v>
      </c>
      <c r="E58" t="s">
        <v>92</v>
      </c>
      <c r="G58" t="s">
        <v>40</v>
      </c>
    </row>
    <row r="59" spans="1:7" x14ac:dyDescent="0.25">
      <c r="A59">
        <v>7694</v>
      </c>
      <c r="B59" t="s">
        <v>164</v>
      </c>
      <c r="C59" t="s">
        <v>46</v>
      </c>
      <c r="D59" t="s">
        <v>147</v>
      </c>
      <c r="E59" t="s">
        <v>94</v>
      </c>
      <c r="G59" t="s">
        <v>40</v>
      </c>
    </row>
    <row r="60" spans="1:7" x14ac:dyDescent="0.25">
      <c r="A60">
        <v>46815</v>
      </c>
      <c r="B60" t="s">
        <v>165</v>
      </c>
      <c r="C60" t="s">
        <v>46</v>
      </c>
      <c r="D60" t="s">
        <v>147</v>
      </c>
      <c r="E60" t="s">
        <v>94</v>
      </c>
      <c r="G60" t="s">
        <v>40</v>
      </c>
    </row>
    <row r="61" spans="1:7" x14ac:dyDescent="0.25">
      <c r="A61">
        <v>46816</v>
      </c>
      <c r="B61" t="s">
        <v>166</v>
      </c>
      <c r="C61" t="s">
        <v>46</v>
      </c>
      <c r="D61" t="s">
        <v>147</v>
      </c>
      <c r="E61" t="s">
        <v>94</v>
      </c>
      <c r="G61" t="s">
        <v>40</v>
      </c>
    </row>
    <row r="62" spans="1:7" x14ac:dyDescent="0.25">
      <c r="A62">
        <v>46817</v>
      </c>
      <c r="B62" t="s">
        <v>167</v>
      </c>
      <c r="C62" t="s">
        <v>46</v>
      </c>
      <c r="D62" t="s">
        <v>147</v>
      </c>
      <c r="E62" t="s">
        <v>94</v>
      </c>
      <c r="G62" t="s">
        <v>40</v>
      </c>
    </row>
    <row r="63" spans="1:7" x14ac:dyDescent="0.25">
      <c r="A63">
        <v>46818</v>
      </c>
      <c r="B63" t="s">
        <v>168</v>
      </c>
      <c r="C63" t="s">
        <v>46</v>
      </c>
      <c r="D63" t="s">
        <v>147</v>
      </c>
      <c r="E63" t="s">
        <v>94</v>
      </c>
      <c r="G63" t="s">
        <v>40</v>
      </c>
    </row>
    <row r="64" spans="1:7" x14ac:dyDescent="0.25">
      <c r="A64">
        <v>47949</v>
      </c>
      <c r="B64" t="s">
        <v>169</v>
      </c>
      <c r="C64" t="s">
        <v>46</v>
      </c>
      <c r="D64" t="s">
        <v>147</v>
      </c>
      <c r="E64" t="s">
        <v>94</v>
      </c>
      <c r="G64" t="s">
        <v>40</v>
      </c>
    </row>
    <row r="65" spans="1:7" x14ac:dyDescent="0.25">
      <c r="A65">
        <v>48030</v>
      </c>
      <c r="B65" t="s">
        <v>170</v>
      </c>
      <c r="C65" t="s">
        <v>46</v>
      </c>
      <c r="D65" t="s">
        <v>147</v>
      </c>
      <c r="E65" t="s">
        <v>94</v>
      </c>
      <c r="G65" t="s">
        <v>40</v>
      </c>
    </row>
    <row r="66" spans="1:7" x14ac:dyDescent="0.25">
      <c r="A66">
        <v>48195</v>
      </c>
      <c r="B66" t="s">
        <v>171</v>
      </c>
      <c r="C66" t="s">
        <v>46</v>
      </c>
      <c r="D66" t="s">
        <v>147</v>
      </c>
      <c r="E66" t="s">
        <v>94</v>
      </c>
      <c r="G66" t="s">
        <v>40</v>
      </c>
    </row>
    <row r="67" spans="1:7" x14ac:dyDescent="0.25">
      <c r="A67">
        <v>3438</v>
      </c>
      <c r="B67" t="s">
        <v>172</v>
      </c>
      <c r="C67" t="s">
        <v>173</v>
      </c>
      <c r="D67" t="s">
        <v>147</v>
      </c>
      <c r="E67" t="s">
        <v>92</v>
      </c>
      <c r="G67" t="s">
        <v>40</v>
      </c>
    </row>
    <row r="68" spans="1:7" x14ac:dyDescent="0.25">
      <c r="A68">
        <v>3439</v>
      </c>
      <c r="B68" t="s">
        <v>174</v>
      </c>
      <c r="C68" t="s">
        <v>173</v>
      </c>
      <c r="D68" t="s">
        <v>147</v>
      </c>
      <c r="E68" t="s">
        <v>92</v>
      </c>
      <c r="G68" t="s">
        <v>40</v>
      </c>
    </row>
    <row r="69" spans="1:7" x14ac:dyDescent="0.25">
      <c r="A69">
        <v>47386</v>
      </c>
      <c r="B69" t="s">
        <v>175</v>
      </c>
      <c r="C69" t="s">
        <v>176</v>
      </c>
      <c r="D69" t="s">
        <v>147</v>
      </c>
      <c r="E69" t="s">
        <v>94</v>
      </c>
      <c r="G69" t="s">
        <v>40</v>
      </c>
    </row>
    <row r="70" spans="1:7" x14ac:dyDescent="0.25">
      <c r="A70">
        <v>47387</v>
      </c>
      <c r="B70" t="s">
        <v>177</v>
      </c>
      <c r="C70" t="s">
        <v>176</v>
      </c>
      <c r="D70" t="s">
        <v>147</v>
      </c>
      <c r="E70" t="s">
        <v>94</v>
      </c>
      <c r="G70" t="s">
        <v>88</v>
      </c>
    </row>
  </sheetData>
  <autoFilter ref="A2:G70" xr:uid="{270EE0D2-A222-4B72-84BE-32D8C6839B68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7550A-4F27-4480-B1CE-2042045E08FD}">
  <dimension ref="A1:I168"/>
  <sheetViews>
    <sheetView workbookViewId="0">
      <selection activeCell="D1" sqref="D1"/>
    </sheetView>
  </sheetViews>
  <sheetFormatPr defaultRowHeight="15" x14ac:dyDescent="0.25"/>
  <cols>
    <col min="1" max="1" width="12.140625" bestFit="1" customWidth="1"/>
    <col min="2" max="2" width="6.140625" bestFit="1" customWidth="1"/>
    <col min="3" max="4" width="3.140625" bestFit="1" customWidth="1"/>
    <col min="7" max="7" width="5.140625" style="3" bestFit="1" customWidth="1"/>
    <col min="8" max="8" width="6.7109375" style="3" bestFit="1" customWidth="1"/>
    <col min="9" max="9" width="34.140625" bestFit="1" customWidth="1"/>
  </cols>
  <sheetData>
    <row r="1" spans="1:9" x14ac:dyDescent="0.25">
      <c r="A1" s="6" t="s">
        <v>328</v>
      </c>
      <c r="B1" t="str">
        <f>RIGHT(A1,5)</f>
        <v>SP088</v>
      </c>
      <c r="C1" t="str">
        <f>LEFT(B1,2)</f>
        <v>SP</v>
      </c>
      <c r="D1" t="str">
        <f>LEFT(RIGHT(A1,5),2)</f>
        <v>SP</v>
      </c>
      <c r="G1" s="16" t="s">
        <v>446</v>
      </c>
      <c r="H1" s="16" t="s">
        <v>447</v>
      </c>
      <c r="I1" s="16" t="s">
        <v>448</v>
      </c>
    </row>
    <row r="2" spans="1:9" x14ac:dyDescent="0.25">
      <c r="G2" s="2">
        <v>1</v>
      </c>
      <c r="H2" s="2" t="s">
        <v>449</v>
      </c>
      <c r="I2" s="1" t="s">
        <v>450</v>
      </c>
    </row>
    <row r="3" spans="1:9" x14ac:dyDescent="0.25">
      <c r="G3" s="2">
        <v>2</v>
      </c>
      <c r="H3" s="2" t="s">
        <v>449</v>
      </c>
      <c r="I3" s="1" t="s">
        <v>451</v>
      </c>
    </row>
    <row r="4" spans="1:9" x14ac:dyDescent="0.25">
      <c r="G4" s="2">
        <v>3</v>
      </c>
      <c r="H4" s="2" t="s">
        <v>449</v>
      </c>
      <c r="I4" s="1" t="s">
        <v>452</v>
      </c>
    </row>
    <row r="5" spans="1:9" x14ac:dyDescent="0.25">
      <c r="G5" s="2">
        <v>4</v>
      </c>
      <c r="H5" s="2" t="s">
        <v>449</v>
      </c>
      <c r="I5" s="1" t="s">
        <v>453</v>
      </c>
    </row>
    <row r="6" spans="1:9" x14ac:dyDescent="0.25">
      <c r="G6" s="2">
        <v>5</v>
      </c>
      <c r="H6" s="2" t="s">
        <v>449</v>
      </c>
      <c r="I6" s="1" t="s">
        <v>454</v>
      </c>
    </row>
    <row r="7" spans="1:9" x14ac:dyDescent="0.25">
      <c r="G7" s="2">
        <v>6</v>
      </c>
      <c r="H7" s="2" t="s">
        <v>449</v>
      </c>
      <c r="I7" s="1" t="s">
        <v>455</v>
      </c>
    </row>
    <row r="8" spans="1:9" x14ac:dyDescent="0.25">
      <c r="G8" s="2">
        <v>51</v>
      </c>
      <c r="H8" s="2" t="s">
        <v>456</v>
      </c>
      <c r="I8" s="1" t="s">
        <v>457</v>
      </c>
    </row>
    <row r="9" spans="1:9" x14ac:dyDescent="0.25">
      <c r="G9" s="2">
        <v>52</v>
      </c>
      <c r="H9" s="2" t="s">
        <v>456</v>
      </c>
      <c r="I9" s="1" t="s">
        <v>458</v>
      </c>
    </row>
    <row r="10" spans="1:9" x14ac:dyDescent="0.25">
      <c r="G10" s="2">
        <v>53</v>
      </c>
      <c r="H10" s="2" t="s">
        <v>456</v>
      </c>
      <c r="I10" s="1" t="s">
        <v>459</v>
      </c>
    </row>
    <row r="11" spans="1:9" x14ac:dyDescent="0.25">
      <c r="G11" s="2">
        <v>54</v>
      </c>
      <c r="H11" s="2" t="s">
        <v>456</v>
      </c>
      <c r="I11" s="1" t="s">
        <v>460</v>
      </c>
    </row>
    <row r="12" spans="1:9" x14ac:dyDescent="0.25">
      <c r="G12" s="2">
        <v>101</v>
      </c>
      <c r="H12" s="2" t="s">
        <v>461</v>
      </c>
      <c r="I12" s="1" t="s">
        <v>462</v>
      </c>
    </row>
    <row r="13" spans="1:9" x14ac:dyDescent="0.25">
      <c r="G13" s="2">
        <v>102</v>
      </c>
      <c r="H13" s="2" t="s">
        <v>461</v>
      </c>
      <c r="I13" s="1" t="s">
        <v>463</v>
      </c>
    </row>
    <row r="14" spans="1:9" x14ac:dyDescent="0.25">
      <c r="G14" s="2">
        <v>103</v>
      </c>
      <c r="H14" s="2" t="s">
        <v>461</v>
      </c>
      <c r="I14" s="1" t="s">
        <v>464</v>
      </c>
    </row>
    <row r="15" spans="1:9" x14ac:dyDescent="0.25">
      <c r="G15" s="2">
        <v>104</v>
      </c>
      <c r="H15" s="2" t="s">
        <v>461</v>
      </c>
      <c r="I15" s="1" t="s">
        <v>465</v>
      </c>
    </row>
    <row r="16" spans="1:9" x14ac:dyDescent="0.25">
      <c r="G16" s="2">
        <v>105</v>
      </c>
      <c r="H16" s="2" t="s">
        <v>461</v>
      </c>
      <c r="I16" s="1" t="s">
        <v>466</v>
      </c>
    </row>
    <row r="17" spans="7:9" x14ac:dyDescent="0.25">
      <c r="G17" s="2">
        <v>201</v>
      </c>
      <c r="H17" s="2" t="s">
        <v>147</v>
      </c>
      <c r="I17" s="1" t="s">
        <v>467</v>
      </c>
    </row>
    <row r="18" spans="7:9" x14ac:dyDescent="0.25">
      <c r="G18" s="2">
        <v>202</v>
      </c>
      <c r="H18" s="2" t="s">
        <v>147</v>
      </c>
      <c r="I18" s="1" t="s">
        <v>468</v>
      </c>
    </row>
    <row r="19" spans="7:9" x14ac:dyDescent="0.25">
      <c r="G19" s="2">
        <v>203</v>
      </c>
      <c r="H19" s="2" t="s">
        <v>147</v>
      </c>
      <c r="I19" s="1" t="s">
        <v>469</v>
      </c>
    </row>
    <row r="20" spans="7:9" x14ac:dyDescent="0.25">
      <c r="G20" s="2">
        <v>204</v>
      </c>
      <c r="H20" s="2" t="s">
        <v>147</v>
      </c>
      <c r="I20" s="1" t="s">
        <v>470</v>
      </c>
    </row>
    <row r="21" spans="7:9" x14ac:dyDescent="0.25">
      <c r="G21" s="2">
        <v>205</v>
      </c>
      <c r="H21" s="2" t="s">
        <v>147</v>
      </c>
      <c r="I21" s="1" t="s">
        <v>471</v>
      </c>
    </row>
    <row r="22" spans="7:9" x14ac:dyDescent="0.25">
      <c r="G22" s="2">
        <v>206</v>
      </c>
      <c r="H22" s="2" t="s">
        <v>147</v>
      </c>
      <c r="I22" s="1" t="s">
        <v>472</v>
      </c>
    </row>
    <row r="23" spans="7:9" x14ac:dyDescent="0.25">
      <c r="G23" s="2">
        <v>207</v>
      </c>
      <c r="H23" s="2" t="s">
        <v>147</v>
      </c>
      <c r="I23" s="1" t="s">
        <v>473</v>
      </c>
    </row>
    <row r="24" spans="7:9" x14ac:dyDescent="0.25">
      <c r="G24" s="2">
        <v>208</v>
      </c>
      <c r="H24" s="2" t="s">
        <v>147</v>
      </c>
      <c r="I24" s="1" t="s">
        <v>474</v>
      </c>
    </row>
    <row r="25" spans="7:9" x14ac:dyDescent="0.25">
      <c r="G25" s="2">
        <v>209</v>
      </c>
      <c r="H25" s="2" t="s">
        <v>147</v>
      </c>
      <c r="I25" s="1" t="s">
        <v>475</v>
      </c>
    </row>
    <row r="26" spans="7:9" x14ac:dyDescent="0.25">
      <c r="G26" s="2">
        <v>210</v>
      </c>
      <c r="H26" s="2" t="s">
        <v>147</v>
      </c>
      <c r="I26" s="1" t="s">
        <v>476</v>
      </c>
    </row>
    <row r="27" spans="7:9" x14ac:dyDescent="0.25">
      <c r="G27" s="2">
        <v>211</v>
      </c>
      <c r="H27" s="2" t="s">
        <v>147</v>
      </c>
      <c r="I27" s="1" t="s">
        <v>477</v>
      </c>
    </row>
    <row r="28" spans="7:9" x14ac:dyDescent="0.25">
      <c r="G28" s="2">
        <v>212</v>
      </c>
      <c r="H28" s="2" t="s">
        <v>147</v>
      </c>
      <c r="I28" s="1" t="s">
        <v>478</v>
      </c>
    </row>
    <row r="29" spans="7:9" x14ac:dyDescent="0.25">
      <c r="G29" s="2">
        <v>213</v>
      </c>
      <c r="H29" s="2" t="s">
        <v>147</v>
      </c>
      <c r="I29" s="1" t="s">
        <v>479</v>
      </c>
    </row>
    <row r="30" spans="7:9" x14ac:dyDescent="0.25">
      <c r="G30" s="2">
        <v>214</v>
      </c>
      <c r="H30" s="2" t="s">
        <v>147</v>
      </c>
      <c r="I30" s="1" t="s">
        <v>480</v>
      </c>
    </row>
    <row r="31" spans="7:9" x14ac:dyDescent="0.25">
      <c r="G31" s="2">
        <v>215</v>
      </c>
      <c r="H31" s="2" t="s">
        <v>147</v>
      </c>
      <c r="I31" s="1" t="s">
        <v>481</v>
      </c>
    </row>
    <row r="32" spans="7:9" x14ac:dyDescent="0.25">
      <c r="G32" s="2">
        <v>216</v>
      </c>
      <c r="H32" s="2" t="s">
        <v>147</v>
      </c>
      <c r="I32" s="1" t="s">
        <v>482</v>
      </c>
    </row>
    <row r="33" spans="7:9" x14ac:dyDescent="0.25">
      <c r="G33" s="2">
        <v>217</v>
      </c>
      <c r="H33" s="2" t="s">
        <v>147</v>
      </c>
      <c r="I33" s="1" t="s">
        <v>483</v>
      </c>
    </row>
    <row r="34" spans="7:9" x14ac:dyDescent="0.25">
      <c r="G34" s="2">
        <v>240</v>
      </c>
      <c r="H34" s="2" t="s">
        <v>461</v>
      </c>
      <c r="I34" s="1" t="s">
        <v>484</v>
      </c>
    </row>
    <row r="35" spans="7:9" x14ac:dyDescent="0.25">
      <c r="G35" s="2">
        <v>241</v>
      </c>
      <c r="H35" s="2" t="s">
        <v>485</v>
      </c>
      <c r="I35" s="1" t="s">
        <v>486</v>
      </c>
    </row>
    <row r="36" spans="7:9" x14ac:dyDescent="0.25">
      <c r="G36" s="2">
        <v>251</v>
      </c>
      <c r="H36" s="2" t="s">
        <v>136</v>
      </c>
      <c r="I36" s="1" t="s">
        <v>487</v>
      </c>
    </row>
    <row r="37" spans="7:9" x14ac:dyDescent="0.25">
      <c r="G37" s="2">
        <v>252</v>
      </c>
      <c r="H37" s="2" t="s">
        <v>136</v>
      </c>
      <c r="I37" s="1" t="s">
        <v>488</v>
      </c>
    </row>
    <row r="38" spans="7:9" x14ac:dyDescent="0.25">
      <c r="G38" s="2">
        <v>253</v>
      </c>
      <c r="H38" s="2" t="s">
        <v>136</v>
      </c>
      <c r="I38" s="1" t="s">
        <v>489</v>
      </c>
    </row>
    <row r="39" spans="7:9" x14ac:dyDescent="0.25">
      <c r="G39" s="2">
        <v>254</v>
      </c>
      <c r="H39" s="2" t="s">
        <v>136</v>
      </c>
      <c r="I39" s="1" t="s">
        <v>490</v>
      </c>
    </row>
    <row r="40" spans="7:9" x14ac:dyDescent="0.25">
      <c r="G40" s="2">
        <v>255</v>
      </c>
      <c r="H40" s="2" t="s">
        <v>136</v>
      </c>
      <c r="I40" s="1" t="s">
        <v>491</v>
      </c>
    </row>
    <row r="41" spans="7:9" x14ac:dyDescent="0.25">
      <c r="G41" s="2">
        <v>256</v>
      </c>
      <c r="H41" s="2" t="s">
        <v>136</v>
      </c>
      <c r="I41" s="1" t="s">
        <v>492</v>
      </c>
    </row>
    <row r="42" spans="7:9" x14ac:dyDescent="0.25">
      <c r="G42" s="2">
        <v>257</v>
      </c>
      <c r="H42" s="2" t="s">
        <v>136</v>
      </c>
      <c r="I42" s="1" t="s">
        <v>493</v>
      </c>
    </row>
    <row r="43" spans="7:9" x14ac:dyDescent="0.25">
      <c r="G43" s="2">
        <v>258</v>
      </c>
      <c r="H43" s="2" t="s">
        <v>136</v>
      </c>
      <c r="I43" s="1" t="s">
        <v>494</v>
      </c>
    </row>
    <row r="44" spans="7:9" x14ac:dyDescent="0.25">
      <c r="G44" s="2">
        <v>259</v>
      </c>
      <c r="H44" s="2" t="s">
        <v>136</v>
      </c>
      <c r="I44" s="1" t="s">
        <v>495</v>
      </c>
    </row>
    <row r="45" spans="7:9" x14ac:dyDescent="0.25">
      <c r="G45" s="2">
        <v>260</v>
      </c>
      <c r="H45" s="2" t="s">
        <v>136</v>
      </c>
      <c r="I45" s="1" t="s">
        <v>496</v>
      </c>
    </row>
    <row r="46" spans="7:9" x14ac:dyDescent="0.25">
      <c r="G46" s="2">
        <v>261</v>
      </c>
      <c r="H46" s="2" t="s">
        <v>136</v>
      </c>
      <c r="I46" s="1" t="s">
        <v>497</v>
      </c>
    </row>
    <row r="47" spans="7:9" x14ac:dyDescent="0.25">
      <c r="G47" s="2">
        <v>262</v>
      </c>
      <c r="H47" s="2" t="s">
        <v>136</v>
      </c>
      <c r="I47" s="1" t="s">
        <v>498</v>
      </c>
    </row>
    <row r="48" spans="7:9" x14ac:dyDescent="0.25">
      <c r="G48" s="2">
        <v>301</v>
      </c>
      <c r="H48" s="2" t="s">
        <v>85</v>
      </c>
      <c r="I48" s="1" t="s">
        <v>499</v>
      </c>
    </row>
    <row r="49" spans="7:9" x14ac:dyDescent="0.25">
      <c r="G49" s="2">
        <v>302</v>
      </c>
      <c r="H49" s="2" t="s">
        <v>85</v>
      </c>
      <c r="I49" s="1" t="s">
        <v>500</v>
      </c>
    </row>
    <row r="50" spans="7:9" x14ac:dyDescent="0.25">
      <c r="G50" s="2">
        <v>303</v>
      </c>
      <c r="H50" s="2" t="s">
        <v>85</v>
      </c>
      <c r="I50" s="1" t="s">
        <v>501</v>
      </c>
    </row>
    <row r="51" spans="7:9" x14ac:dyDescent="0.25">
      <c r="G51" s="2">
        <v>304</v>
      </c>
      <c r="H51" s="2" t="s">
        <v>85</v>
      </c>
      <c r="I51" s="1" t="s">
        <v>502</v>
      </c>
    </row>
    <row r="52" spans="7:9" x14ac:dyDescent="0.25">
      <c r="G52" s="2">
        <v>305</v>
      </c>
      <c r="H52" s="2" t="s">
        <v>85</v>
      </c>
      <c r="I52" s="1" t="s">
        <v>503</v>
      </c>
    </row>
    <row r="53" spans="7:9" x14ac:dyDescent="0.25">
      <c r="G53" s="2">
        <v>306</v>
      </c>
      <c r="H53" s="2" t="s">
        <v>85</v>
      </c>
      <c r="I53" s="1" t="s">
        <v>504</v>
      </c>
    </row>
    <row r="54" spans="7:9" x14ac:dyDescent="0.25">
      <c r="G54" s="2">
        <v>307</v>
      </c>
      <c r="H54" s="2" t="s">
        <v>85</v>
      </c>
      <c r="I54" s="1" t="s">
        <v>505</v>
      </c>
    </row>
    <row r="55" spans="7:9" x14ac:dyDescent="0.25">
      <c r="G55" s="2">
        <v>351</v>
      </c>
      <c r="H55" s="2" t="s">
        <v>99</v>
      </c>
      <c r="I55" s="1" t="s">
        <v>506</v>
      </c>
    </row>
    <row r="56" spans="7:9" x14ac:dyDescent="0.25">
      <c r="G56" s="2">
        <v>352</v>
      </c>
      <c r="H56" s="2" t="s">
        <v>99</v>
      </c>
      <c r="I56" s="1" t="s">
        <v>507</v>
      </c>
    </row>
    <row r="57" spans="7:9" x14ac:dyDescent="0.25">
      <c r="G57" s="2">
        <v>353</v>
      </c>
      <c r="H57" s="2" t="s">
        <v>99</v>
      </c>
      <c r="I57" s="1" t="s">
        <v>508</v>
      </c>
    </row>
    <row r="58" spans="7:9" x14ac:dyDescent="0.25">
      <c r="G58" s="2">
        <v>354</v>
      </c>
      <c r="H58" s="2" t="s">
        <v>99</v>
      </c>
      <c r="I58" s="1" t="s">
        <v>509</v>
      </c>
    </row>
    <row r="59" spans="7:9" x14ac:dyDescent="0.25">
      <c r="G59" s="2">
        <v>355</v>
      </c>
      <c r="H59" s="2" t="s">
        <v>99</v>
      </c>
      <c r="I59" s="1" t="s">
        <v>510</v>
      </c>
    </row>
    <row r="60" spans="7:9" x14ac:dyDescent="0.25">
      <c r="G60" s="2">
        <v>356</v>
      </c>
      <c r="H60" s="2" t="s">
        <v>99</v>
      </c>
      <c r="I60" s="1" t="s">
        <v>511</v>
      </c>
    </row>
    <row r="61" spans="7:9" x14ac:dyDescent="0.25">
      <c r="G61" s="2">
        <v>357</v>
      </c>
      <c r="H61" s="2" t="s">
        <v>99</v>
      </c>
      <c r="I61" s="1" t="s">
        <v>512</v>
      </c>
    </row>
    <row r="62" spans="7:9" x14ac:dyDescent="0.25">
      <c r="G62" s="2">
        <v>358</v>
      </c>
      <c r="H62" s="2" t="s">
        <v>99</v>
      </c>
      <c r="I62" s="1" t="s">
        <v>513</v>
      </c>
    </row>
    <row r="63" spans="7:9" x14ac:dyDescent="0.25">
      <c r="G63" s="2">
        <v>359</v>
      </c>
      <c r="H63" s="2" t="s">
        <v>99</v>
      </c>
      <c r="I63" s="1" t="s">
        <v>514</v>
      </c>
    </row>
    <row r="64" spans="7:9" x14ac:dyDescent="0.25">
      <c r="G64" s="2">
        <v>360</v>
      </c>
      <c r="H64" s="2" t="s">
        <v>99</v>
      </c>
      <c r="I64" s="1" t="s">
        <v>515</v>
      </c>
    </row>
    <row r="65" spans="7:9" x14ac:dyDescent="0.25">
      <c r="G65" s="2">
        <v>361</v>
      </c>
      <c r="H65" s="2" t="s">
        <v>99</v>
      </c>
      <c r="I65" s="1" t="s">
        <v>516</v>
      </c>
    </row>
    <row r="66" spans="7:9" x14ac:dyDescent="0.25">
      <c r="G66" s="2">
        <v>362</v>
      </c>
      <c r="H66" s="2" t="s">
        <v>99</v>
      </c>
      <c r="I66" s="1" t="s">
        <v>517</v>
      </c>
    </row>
    <row r="67" spans="7:9" x14ac:dyDescent="0.25">
      <c r="G67" s="2">
        <v>363</v>
      </c>
      <c r="H67" s="2" t="s">
        <v>99</v>
      </c>
      <c r="I67" s="1" t="s">
        <v>518</v>
      </c>
    </row>
    <row r="68" spans="7:9" x14ac:dyDescent="0.25">
      <c r="G68" s="2">
        <v>401</v>
      </c>
      <c r="H68" s="2" t="s">
        <v>519</v>
      </c>
      <c r="I68" s="1" t="s">
        <v>520</v>
      </c>
    </row>
    <row r="69" spans="7:9" x14ac:dyDescent="0.25">
      <c r="G69" s="2">
        <v>402</v>
      </c>
      <c r="H69" s="2" t="s">
        <v>519</v>
      </c>
      <c r="I69" s="1" t="s">
        <v>521</v>
      </c>
    </row>
    <row r="70" spans="7:9" x14ac:dyDescent="0.25">
      <c r="G70" s="2">
        <v>403</v>
      </c>
      <c r="H70" s="2" t="s">
        <v>519</v>
      </c>
      <c r="I70" s="1" t="s">
        <v>522</v>
      </c>
    </row>
    <row r="71" spans="7:9" x14ac:dyDescent="0.25">
      <c r="G71" s="2">
        <v>404</v>
      </c>
      <c r="H71" s="2" t="s">
        <v>519</v>
      </c>
      <c r="I71" s="1" t="s">
        <v>523</v>
      </c>
    </row>
    <row r="72" spans="7:9" x14ac:dyDescent="0.25">
      <c r="G72" s="2">
        <v>405</v>
      </c>
      <c r="H72" s="2" t="s">
        <v>519</v>
      </c>
      <c r="I72" s="1" t="s">
        <v>524</v>
      </c>
    </row>
    <row r="73" spans="7:9" x14ac:dyDescent="0.25">
      <c r="G73" s="2">
        <v>431</v>
      </c>
      <c r="H73" s="2" t="s">
        <v>525</v>
      </c>
      <c r="I73" s="1" t="s">
        <v>526</v>
      </c>
    </row>
    <row r="74" spans="7:9" x14ac:dyDescent="0.25">
      <c r="G74" s="2">
        <v>432</v>
      </c>
      <c r="H74" s="2" t="s">
        <v>525</v>
      </c>
      <c r="I74" s="1" t="s">
        <v>527</v>
      </c>
    </row>
    <row r="75" spans="7:9" x14ac:dyDescent="0.25">
      <c r="G75" s="2">
        <v>433</v>
      </c>
      <c r="H75" s="2" t="s">
        <v>525</v>
      </c>
      <c r="I75" s="1" t="s">
        <v>528</v>
      </c>
    </row>
    <row r="76" spans="7:9" x14ac:dyDescent="0.25">
      <c r="G76" s="2">
        <v>451</v>
      </c>
      <c r="H76" s="2" t="s">
        <v>529</v>
      </c>
      <c r="I76" s="1" t="s">
        <v>530</v>
      </c>
    </row>
    <row r="77" spans="7:9" x14ac:dyDescent="0.25">
      <c r="G77" s="2">
        <v>452</v>
      </c>
      <c r="H77" s="2" t="s">
        <v>529</v>
      </c>
      <c r="I77" s="1" t="s">
        <v>531</v>
      </c>
    </row>
    <row r="78" spans="7:9" x14ac:dyDescent="0.25">
      <c r="G78" s="2">
        <v>453</v>
      </c>
      <c r="H78" s="2" t="s">
        <v>529</v>
      </c>
      <c r="I78" s="1" t="s">
        <v>532</v>
      </c>
    </row>
    <row r="79" spans="7:9" x14ac:dyDescent="0.25">
      <c r="G79" s="2">
        <v>454</v>
      </c>
      <c r="H79" s="2" t="s">
        <v>529</v>
      </c>
      <c r="I79" s="1" t="s">
        <v>533</v>
      </c>
    </row>
    <row r="80" spans="7:9" x14ac:dyDescent="0.25">
      <c r="G80" s="2">
        <v>455</v>
      </c>
      <c r="H80" s="2" t="s">
        <v>529</v>
      </c>
      <c r="I80" s="1" t="s">
        <v>534</v>
      </c>
    </row>
    <row r="81" spans="7:9" x14ac:dyDescent="0.25">
      <c r="G81" s="2">
        <v>456</v>
      </c>
      <c r="H81" s="2" t="s">
        <v>529</v>
      </c>
      <c r="I81" s="1" t="s">
        <v>535</v>
      </c>
    </row>
    <row r="82" spans="7:9" x14ac:dyDescent="0.25">
      <c r="G82" s="2">
        <v>457</v>
      </c>
      <c r="H82" s="2" t="s">
        <v>529</v>
      </c>
      <c r="I82" s="1" t="s">
        <v>536</v>
      </c>
    </row>
    <row r="83" spans="7:9" x14ac:dyDescent="0.25">
      <c r="G83" s="2">
        <v>458</v>
      </c>
      <c r="H83" s="2" t="s">
        <v>529</v>
      </c>
      <c r="I83" s="1" t="s">
        <v>537</v>
      </c>
    </row>
    <row r="84" spans="7:9" x14ac:dyDescent="0.25">
      <c r="G84" s="2">
        <v>459</v>
      </c>
      <c r="H84" s="2" t="s">
        <v>529</v>
      </c>
      <c r="I84" s="1" t="s">
        <v>538</v>
      </c>
    </row>
    <row r="85" spans="7:9" x14ac:dyDescent="0.25">
      <c r="G85" s="2">
        <v>460</v>
      </c>
      <c r="H85" s="2" t="s">
        <v>529</v>
      </c>
      <c r="I85" s="1" t="s">
        <v>539</v>
      </c>
    </row>
    <row r="86" spans="7:9" x14ac:dyDescent="0.25">
      <c r="G86" s="2">
        <v>471</v>
      </c>
      <c r="H86" s="2" t="s">
        <v>129</v>
      </c>
      <c r="I86" s="1" t="s">
        <v>540</v>
      </c>
    </row>
    <row r="87" spans="7:9" x14ac:dyDescent="0.25">
      <c r="G87" s="2">
        <v>472</v>
      </c>
      <c r="H87" s="2" t="s">
        <v>129</v>
      </c>
      <c r="I87" s="1" t="s">
        <v>541</v>
      </c>
    </row>
    <row r="88" spans="7:9" x14ac:dyDescent="0.25">
      <c r="G88" s="2">
        <v>473</v>
      </c>
      <c r="H88" s="2" t="s">
        <v>129</v>
      </c>
      <c r="I88" s="1" t="s">
        <v>542</v>
      </c>
    </row>
    <row r="89" spans="7:9" x14ac:dyDescent="0.25">
      <c r="G89" s="2">
        <v>474</v>
      </c>
      <c r="H89" s="2" t="s">
        <v>129</v>
      </c>
      <c r="I89" s="1" t="s">
        <v>543</v>
      </c>
    </row>
    <row r="90" spans="7:9" x14ac:dyDescent="0.25">
      <c r="G90" s="2">
        <v>475</v>
      </c>
      <c r="H90" s="2" t="s">
        <v>129</v>
      </c>
      <c r="I90" s="1" t="s">
        <v>544</v>
      </c>
    </row>
    <row r="91" spans="7:9" x14ac:dyDescent="0.25">
      <c r="G91" s="2">
        <v>476</v>
      </c>
      <c r="H91" s="2" t="s">
        <v>129</v>
      </c>
      <c r="I91" s="1" t="s">
        <v>545</v>
      </c>
    </row>
    <row r="92" spans="7:9" x14ac:dyDescent="0.25">
      <c r="G92" s="2">
        <v>477</v>
      </c>
      <c r="H92" s="2" t="s">
        <v>129</v>
      </c>
      <c r="I92" s="1" t="s">
        <v>546</v>
      </c>
    </row>
    <row r="93" spans="7:9" x14ac:dyDescent="0.25">
      <c r="G93" s="2">
        <v>478</v>
      </c>
      <c r="H93" s="2" t="s">
        <v>129</v>
      </c>
      <c r="I93" s="1" t="s">
        <v>547</v>
      </c>
    </row>
    <row r="94" spans="7:9" x14ac:dyDescent="0.25">
      <c r="G94" s="2">
        <v>479</v>
      </c>
      <c r="H94" s="2" t="s">
        <v>129</v>
      </c>
      <c r="I94" s="1" t="s">
        <v>548</v>
      </c>
    </row>
    <row r="95" spans="7:9" x14ac:dyDescent="0.25">
      <c r="G95" s="2">
        <v>480</v>
      </c>
      <c r="H95" s="2" t="s">
        <v>129</v>
      </c>
      <c r="I95" s="1" t="s">
        <v>549</v>
      </c>
    </row>
    <row r="96" spans="7:9" x14ac:dyDescent="0.25">
      <c r="G96" s="2">
        <v>481</v>
      </c>
      <c r="H96" s="2" t="s">
        <v>129</v>
      </c>
      <c r="I96" s="1" t="s">
        <v>550</v>
      </c>
    </row>
    <row r="97" spans="7:9" x14ac:dyDescent="0.25">
      <c r="G97" s="2">
        <v>482</v>
      </c>
      <c r="H97" s="2" t="s">
        <v>129</v>
      </c>
      <c r="I97" s="1" t="s">
        <v>551</v>
      </c>
    </row>
    <row r="98" spans="7:9" x14ac:dyDescent="0.25">
      <c r="G98" s="2">
        <v>511</v>
      </c>
      <c r="H98" s="2" t="s">
        <v>89</v>
      </c>
      <c r="I98" s="1" t="s">
        <v>552</v>
      </c>
    </row>
    <row r="99" spans="7:9" x14ac:dyDescent="0.25">
      <c r="G99" s="2">
        <v>512</v>
      </c>
      <c r="H99" s="2" t="s">
        <v>89</v>
      </c>
      <c r="I99" s="1" t="s">
        <v>553</v>
      </c>
    </row>
    <row r="100" spans="7:9" x14ac:dyDescent="0.25">
      <c r="G100" s="2">
        <v>513</v>
      </c>
      <c r="H100" s="2" t="s">
        <v>89</v>
      </c>
      <c r="I100" s="1" t="s">
        <v>554</v>
      </c>
    </row>
    <row r="101" spans="7:9" x14ac:dyDescent="0.25">
      <c r="G101" s="2">
        <v>514</v>
      </c>
      <c r="H101" s="2" t="s">
        <v>89</v>
      </c>
      <c r="I101" s="1" t="s">
        <v>555</v>
      </c>
    </row>
    <row r="102" spans="7:9" x14ac:dyDescent="0.25">
      <c r="G102" s="2">
        <v>515</v>
      </c>
      <c r="H102" s="2" t="s">
        <v>89</v>
      </c>
      <c r="I102" s="1" t="s">
        <v>556</v>
      </c>
    </row>
    <row r="103" spans="7:9" x14ac:dyDescent="0.25">
      <c r="G103" s="2">
        <v>516</v>
      </c>
      <c r="H103" s="2" t="s">
        <v>89</v>
      </c>
      <c r="I103" s="1" t="s">
        <v>557</v>
      </c>
    </row>
    <row r="104" spans="7:9" x14ac:dyDescent="0.25">
      <c r="G104" s="2">
        <v>517</v>
      </c>
      <c r="H104" s="2" t="s">
        <v>89</v>
      </c>
      <c r="I104" s="1" t="s">
        <v>558</v>
      </c>
    </row>
    <row r="105" spans="7:9" x14ac:dyDescent="0.25">
      <c r="G105" s="2">
        <v>518</v>
      </c>
      <c r="H105" s="2" t="s">
        <v>89</v>
      </c>
      <c r="I105" s="1" t="s">
        <v>559</v>
      </c>
    </row>
    <row r="106" spans="7:9" x14ac:dyDescent="0.25">
      <c r="G106" s="2">
        <v>519</v>
      </c>
      <c r="H106" s="2" t="s">
        <v>89</v>
      </c>
      <c r="I106" s="1" t="s">
        <v>560</v>
      </c>
    </row>
    <row r="107" spans="7:9" x14ac:dyDescent="0.25">
      <c r="G107" s="2">
        <v>520</v>
      </c>
      <c r="H107" s="2" t="s">
        <v>89</v>
      </c>
      <c r="I107" s="1" t="s">
        <v>561</v>
      </c>
    </row>
    <row r="108" spans="7:9" x14ac:dyDescent="0.25">
      <c r="G108" s="2">
        <v>521</v>
      </c>
      <c r="H108" s="2" t="s">
        <v>89</v>
      </c>
      <c r="I108" s="1" t="s">
        <v>562</v>
      </c>
    </row>
    <row r="109" spans="7:9" x14ac:dyDescent="0.25">
      <c r="G109" s="2">
        <v>561</v>
      </c>
      <c r="H109" s="2" t="s">
        <v>563</v>
      </c>
      <c r="I109" s="1" t="s">
        <v>564</v>
      </c>
    </row>
    <row r="110" spans="7:9" x14ac:dyDescent="0.25">
      <c r="G110" s="2">
        <v>562</v>
      </c>
      <c r="H110" s="2" t="s">
        <v>563</v>
      </c>
      <c r="I110" s="1" t="s">
        <v>565</v>
      </c>
    </row>
    <row r="111" spans="7:9" x14ac:dyDescent="0.25">
      <c r="G111" s="2">
        <v>563</v>
      </c>
      <c r="H111" s="2" t="s">
        <v>563</v>
      </c>
      <c r="I111" s="1" t="s">
        <v>566</v>
      </c>
    </row>
    <row r="112" spans="7:9" x14ac:dyDescent="0.25">
      <c r="G112" s="2">
        <v>564</v>
      </c>
      <c r="H112" s="2" t="s">
        <v>563</v>
      </c>
      <c r="I112" s="1" t="s">
        <v>567</v>
      </c>
    </row>
    <row r="113" spans="7:9" x14ac:dyDescent="0.25">
      <c r="G113" s="2">
        <v>581</v>
      </c>
      <c r="H113" s="2" t="s">
        <v>568</v>
      </c>
      <c r="I113" s="1" t="s">
        <v>569</v>
      </c>
    </row>
    <row r="114" spans="7:9" x14ac:dyDescent="0.25">
      <c r="G114" s="2">
        <v>701</v>
      </c>
      <c r="H114" s="2" t="s">
        <v>570</v>
      </c>
      <c r="I114" s="1" t="s">
        <v>571</v>
      </c>
    </row>
    <row r="115" spans="7:9" x14ac:dyDescent="0.25">
      <c r="G115" s="2">
        <v>702</v>
      </c>
      <c r="H115" s="2" t="s">
        <v>570</v>
      </c>
      <c r="I115" s="1" t="s">
        <v>572</v>
      </c>
    </row>
    <row r="116" spans="7:9" x14ac:dyDescent="0.25">
      <c r="G116" s="2">
        <v>703</v>
      </c>
      <c r="H116" s="2" t="s">
        <v>570</v>
      </c>
      <c r="I116" s="1" t="s">
        <v>573</v>
      </c>
    </row>
    <row r="117" spans="7:9" x14ac:dyDescent="0.25">
      <c r="G117" s="2">
        <v>704</v>
      </c>
      <c r="H117" s="2" t="s">
        <v>570</v>
      </c>
      <c r="I117" s="1" t="s">
        <v>574</v>
      </c>
    </row>
    <row r="118" spans="7:9" x14ac:dyDescent="0.25">
      <c r="G118" s="2">
        <v>711</v>
      </c>
      <c r="H118" s="2" t="s">
        <v>575</v>
      </c>
      <c r="I118" s="1" t="s">
        <v>576</v>
      </c>
    </row>
    <row r="119" spans="7:9" x14ac:dyDescent="0.25">
      <c r="G119" s="2">
        <v>712</v>
      </c>
      <c r="H119" s="2" t="s">
        <v>575</v>
      </c>
      <c r="I119" s="1" t="s">
        <v>577</v>
      </c>
    </row>
    <row r="120" spans="7:9" x14ac:dyDescent="0.25">
      <c r="G120" s="2">
        <v>713</v>
      </c>
      <c r="H120" s="2" t="s">
        <v>575</v>
      </c>
      <c r="I120" s="1" t="s">
        <v>578</v>
      </c>
    </row>
    <row r="121" spans="7:9" x14ac:dyDescent="0.25">
      <c r="G121" s="2">
        <v>714</v>
      </c>
      <c r="H121" s="2" t="s">
        <v>575</v>
      </c>
      <c r="I121" s="1" t="s">
        <v>579</v>
      </c>
    </row>
    <row r="122" spans="7:9" x14ac:dyDescent="0.25">
      <c r="G122" s="2">
        <v>715</v>
      </c>
      <c r="H122" s="2" t="s">
        <v>575</v>
      </c>
      <c r="I122" s="1" t="s">
        <v>580</v>
      </c>
    </row>
    <row r="123" spans="7:9" x14ac:dyDescent="0.25">
      <c r="G123" s="2">
        <v>716</v>
      </c>
      <c r="H123" s="2" t="s">
        <v>575</v>
      </c>
      <c r="I123" s="1" t="s">
        <v>581</v>
      </c>
    </row>
    <row r="124" spans="7:9" x14ac:dyDescent="0.25">
      <c r="G124" s="2">
        <v>721</v>
      </c>
      <c r="H124" s="2" t="s">
        <v>582</v>
      </c>
      <c r="I124" s="1" t="s">
        <v>583</v>
      </c>
    </row>
    <row r="125" spans="7:9" x14ac:dyDescent="0.25">
      <c r="G125" s="2">
        <v>722</v>
      </c>
      <c r="H125" s="2" t="s">
        <v>582</v>
      </c>
      <c r="I125" s="1" t="s">
        <v>584</v>
      </c>
    </row>
    <row r="126" spans="7:9" x14ac:dyDescent="0.25">
      <c r="G126" s="2">
        <v>723</v>
      </c>
      <c r="H126" s="2" t="s">
        <v>582</v>
      </c>
      <c r="I126" s="1" t="s">
        <v>585</v>
      </c>
    </row>
    <row r="127" spans="7:9" x14ac:dyDescent="0.25">
      <c r="G127" s="2">
        <v>724</v>
      </c>
      <c r="H127" s="2" t="s">
        <v>582</v>
      </c>
      <c r="I127" s="1" t="s">
        <v>586</v>
      </c>
    </row>
    <row r="128" spans="7:9" x14ac:dyDescent="0.25">
      <c r="G128" s="2">
        <v>741</v>
      </c>
      <c r="H128" s="2" t="s">
        <v>587</v>
      </c>
      <c r="I128" s="1" t="s">
        <v>588</v>
      </c>
    </row>
    <row r="129" spans="7:9" x14ac:dyDescent="0.25">
      <c r="G129" s="2">
        <v>742</v>
      </c>
      <c r="H129" s="2" t="s">
        <v>587</v>
      </c>
      <c r="I129" s="1" t="s">
        <v>589</v>
      </c>
    </row>
    <row r="130" spans="7:9" x14ac:dyDescent="0.25">
      <c r="G130" s="2">
        <v>743</v>
      </c>
      <c r="H130" s="2" t="s">
        <v>587</v>
      </c>
      <c r="I130" s="1" t="s">
        <v>590</v>
      </c>
    </row>
    <row r="131" spans="7:9" x14ac:dyDescent="0.25">
      <c r="G131" s="2">
        <v>744</v>
      </c>
      <c r="H131" s="2" t="s">
        <v>587</v>
      </c>
      <c r="I131" s="1" t="s">
        <v>591</v>
      </c>
    </row>
    <row r="132" spans="7:9" x14ac:dyDescent="0.25">
      <c r="G132" s="2">
        <v>761</v>
      </c>
      <c r="H132" s="2" t="s">
        <v>592</v>
      </c>
      <c r="I132" s="1" t="s">
        <v>593</v>
      </c>
    </row>
    <row r="133" spans="7:9" x14ac:dyDescent="0.25">
      <c r="G133" s="2">
        <v>762</v>
      </c>
      <c r="H133" s="2" t="s">
        <v>592</v>
      </c>
      <c r="I133" s="1" t="s">
        <v>594</v>
      </c>
    </row>
    <row r="134" spans="7:9" x14ac:dyDescent="0.25">
      <c r="G134" s="2">
        <v>763</v>
      </c>
      <c r="H134" s="2" t="s">
        <v>592</v>
      </c>
      <c r="I134" s="1" t="s">
        <v>595</v>
      </c>
    </row>
    <row r="135" spans="7:9" x14ac:dyDescent="0.25">
      <c r="G135" s="2">
        <v>764</v>
      </c>
      <c r="H135" s="2" t="s">
        <v>592</v>
      </c>
      <c r="I135" s="1" t="s">
        <v>596</v>
      </c>
    </row>
    <row r="136" spans="7:9" x14ac:dyDescent="0.25">
      <c r="G136" s="2">
        <v>771</v>
      </c>
      <c r="H136" s="2" t="s">
        <v>597</v>
      </c>
      <c r="I136" s="1" t="s">
        <v>598</v>
      </c>
    </row>
    <row r="137" spans="7:9" x14ac:dyDescent="0.25">
      <c r="G137" s="2">
        <v>772</v>
      </c>
      <c r="H137" s="2" t="s">
        <v>597</v>
      </c>
      <c r="I137" s="1" t="s">
        <v>599</v>
      </c>
    </row>
    <row r="138" spans="7:9" x14ac:dyDescent="0.25">
      <c r="G138" s="2">
        <v>773</v>
      </c>
      <c r="H138" s="2" t="s">
        <v>597</v>
      </c>
      <c r="I138" s="1" t="s">
        <v>600</v>
      </c>
    </row>
    <row r="139" spans="7:9" x14ac:dyDescent="0.25">
      <c r="G139" s="2">
        <v>801</v>
      </c>
      <c r="H139" s="2" t="s">
        <v>601</v>
      </c>
      <c r="I139" s="1" t="s">
        <v>602</v>
      </c>
    </row>
    <row r="140" spans="7:9" x14ac:dyDescent="0.25">
      <c r="G140" s="2">
        <v>802</v>
      </c>
      <c r="H140" s="2" t="s">
        <v>601</v>
      </c>
      <c r="I140" s="1" t="s">
        <v>603</v>
      </c>
    </row>
    <row r="141" spans="7:9" x14ac:dyDescent="0.25">
      <c r="G141" s="2">
        <v>803</v>
      </c>
      <c r="H141" s="2" t="s">
        <v>601</v>
      </c>
      <c r="I141" s="1" t="s">
        <v>604</v>
      </c>
    </row>
    <row r="142" spans="7:9" x14ac:dyDescent="0.25">
      <c r="G142" s="2">
        <v>804</v>
      </c>
      <c r="H142" s="2" t="s">
        <v>601</v>
      </c>
      <c r="I142" s="1" t="s">
        <v>605</v>
      </c>
    </row>
    <row r="143" spans="7:9" x14ac:dyDescent="0.25">
      <c r="G143" s="2">
        <v>805</v>
      </c>
      <c r="H143" s="2" t="s">
        <v>601</v>
      </c>
      <c r="I143" s="1" t="s">
        <v>606</v>
      </c>
    </row>
    <row r="144" spans="7:9" x14ac:dyDescent="0.25">
      <c r="G144" s="2">
        <v>806</v>
      </c>
      <c r="H144" s="2" t="s">
        <v>601</v>
      </c>
      <c r="I144" s="1" t="s">
        <v>607</v>
      </c>
    </row>
    <row r="145" spans="7:9" x14ac:dyDescent="0.25">
      <c r="G145" s="2">
        <v>807</v>
      </c>
      <c r="H145" s="2" t="s">
        <v>601</v>
      </c>
      <c r="I145" s="1" t="s">
        <v>608</v>
      </c>
    </row>
    <row r="146" spans="7:9" x14ac:dyDescent="0.25">
      <c r="G146" s="2">
        <v>808</v>
      </c>
      <c r="H146" s="2" t="s">
        <v>601</v>
      </c>
      <c r="I146" s="1" t="s">
        <v>609</v>
      </c>
    </row>
    <row r="147" spans="7:9" x14ac:dyDescent="0.25">
      <c r="G147" s="2">
        <v>821</v>
      </c>
      <c r="H147" s="2" t="s">
        <v>610</v>
      </c>
      <c r="I147" s="1" t="s">
        <v>611</v>
      </c>
    </row>
    <row r="148" spans="7:9" x14ac:dyDescent="0.25">
      <c r="G148" s="2">
        <v>822</v>
      </c>
      <c r="H148" s="2" t="s">
        <v>610</v>
      </c>
      <c r="I148" s="1" t="s">
        <v>612</v>
      </c>
    </row>
    <row r="149" spans="7:9" x14ac:dyDescent="0.25">
      <c r="G149" s="2">
        <v>841</v>
      </c>
      <c r="H149" s="2" t="s">
        <v>613</v>
      </c>
      <c r="I149" s="1" t="s">
        <v>614</v>
      </c>
    </row>
    <row r="150" spans="7:9" x14ac:dyDescent="0.25">
      <c r="G150" s="2">
        <v>842</v>
      </c>
      <c r="H150" s="2" t="s">
        <v>613</v>
      </c>
      <c r="I150" s="1" t="s">
        <v>615</v>
      </c>
    </row>
    <row r="151" spans="7:9" x14ac:dyDescent="0.25">
      <c r="G151" s="2">
        <v>843</v>
      </c>
      <c r="H151" s="2" t="s">
        <v>613</v>
      </c>
      <c r="I151" s="1" t="s">
        <v>616</v>
      </c>
    </row>
    <row r="152" spans="7:9" x14ac:dyDescent="0.25">
      <c r="G152" s="2">
        <v>844</v>
      </c>
      <c r="H152" s="2" t="s">
        <v>613</v>
      </c>
      <c r="I152" s="1" t="s">
        <v>617</v>
      </c>
    </row>
    <row r="153" spans="7:9" x14ac:dyDescent="0.25">
      <c r="G153" s="2">
        <v>845</v>
      </c>
      <c r="H153" s="2" t="s">
        <v>613</v>
      </c>
      <c r="I153" s="1" t="s">
        <v>618</v>
      </c>
    </row>
    <row r="154" spans="7:9" x14ac:dyDescent="0.25">
      <c r="G154" s="2">
        <v>846</v>
      </c>
      <c r="H154" s="2" t="s">
        <v>613</v>
      </c>
      <c r="I154" s="1" t="s">
        <v>619</v>
      </c>
    </row>
    <row r="155" spans="7:9" x14ac:dyDescent="0.25">
      <c r="G155" s="2">
        <v>847</v>
      </c>
      <c r="H155" s="2" t="s">
        <v>613</v>
      </c>
      <c r="I155" s="1" t="s">
        <v>620</v>
      </c>
    </row>
    <row r="156" spans="7:9" x14ac:dyDescent="0.25">
      <c r="G156" s="2">
        <v>848</v>
      </c>
      <c r="H156" s="2" t="s">
        <v>613</v>
      </c>
      <c r="I156" s="1" t="s">
        <v>621</v>
      </c>
    </row>
    <row r="157" spans="7:9" x14ac:dyDescent="0.25">
      <c r="G157" s="2">
        <v>861</v>
      </c>
      <c r="H157" s="2" t="s">
        <v>622</v>
      </c>
      <c r="I157" s="1" t="s">
        <v>623</v>
      </c>
    </row>
    <row r="158" spans="7:9" x14ac:dyDescent="0.25">
      <c r="G158" s="2">
        <v>862</v>
      </c>
      <c r="H158" s="2" t="s">
        <v>622</v>
      </c>
      <c r="I158" s="1" t="s">
        <v>624</v>
      </c>
    </row>
    <row r="159" spans="7:9" x14ac:dyDescent="0.25">
      <c r="G159" s="2">
        <v>863</v>
      </c>
      <c r="H159" s="2" t="s">
        <v>622</v>
      </c>
      <c r="I159" s="1" t="s">
        <v>625</v>
      </c>
    </row>
    <row r="160" spans="7:9" x14ac:dyDescent="0.25">
      <c r="G160" s="2">
        <v>864</v>
      </c>
      <c r="H160" s="2" t="s">
        <v>622</v>
      </c>
      <c r="I160" s="1" t="s">
        <v>626</v>
      </c>
    </row>
    <row r="161" spans="7:9" x14ac:dyDescent="0.25">
      <c r="G161" s="2">
        <v>865</v>
      </c>
      <c r="H161" s="2" t="s">
        <v>622</v>
      </c>
      <c r="I161" s="1" t="s">
        <v>627</v>
      </c>
    </row>
    <row r="162" spans="7:9" x14ac:dyDescent="0.25">
      <c r="G162" s="2">
        <v>866</v>
      </c>
      <c r="H162" s="2" t="s">
        <v>622</v>
      </c>
      <c r="I162" s="1" t="s">
        <v>628</v>
      </c>
    </row>
    <row r="163" spans="7:9" x14ac:dyDescent="0.25">
      <c r="G163" s="2">
        <v>881</v>
      </c>
      <c r="H163" s="2" t="s">
        <v>568</v>
      </c>
      <c r="I163" s="1" t="s">
        <v>629</v>
      </c>
    </row>
    <row r="164" spans="7:9" x14ac:dyDescent="0.25">
      <c r="G164" s="2">
        <v>882</v>
      </c>
      <c r="H164" s="2" t="s">
        <v>568</v>
      </c>
      <c r="I164" s="1" t="s">
        <v>630</v>
      </c>
    </row>
    <row r="165" spans="7:9" x14ac:dyDescent="0.25">
      <c r="G165" s="2">
        <v>883</v>
      </c>
      <c r="H165" s="2" t="s">
        <v>568</v>
      </c>
      <c r="I165" s="1" t="s">
        <v>631</v>
      </c>
    </row>
    <row r="166" spans="7:9" x14ac:dyDescent="0.25">
      <c r="G166" s="2">
        <v>901</v>
      </c>
      <c r="H166" s="2" t="s">
        <v>632</v>
      </c>
      <c r="I166" s="1" t="s">
        <v>633</v>
      </c>
    </row>
    <row r="167" spans="7:9" x14ac:dyDescent="0.25">
      <c r="G167" s="2">
        <v>902</v>
      </c>
      <c r="H167" s="2" t="s">
        <v>632</v>
      </c>
      <c r="I167" s="1" t="s">
        <v>634</v>
      </c>
    </row>
    <row r="168" spans="7:9" x14ac:dyDescent="0.25">
      <c r="G168" s="2">
        <v>903</v>
      </c>
      <c r="H168" s="2" t="s">
        <v>632</v>
      </c>
      <c r="I168" s="1" t="s">
        <v>635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Mensal Fev 26</vt:lpstr>
      <vt:lpstr>Parecer</vt:lpstr>
      <vt:lpstr>Corrige Area x UF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Jorge Araujo de Souza</dc:creator>
  <cp:lastModifiedBy>Pedro Victor Rodrigues Veras</cp:lastModifiedBy>
  <dcterms:created xsi:type="dcterms:W3CDTF">2015-06-05T18:19:34Z</dcterms:created>
  <dcterms:modified xsi:type="dcterms:W3CDTF">2026-02-03T19:56:58Z</dcterms:modified>
</cp:coreProperties>
</file>